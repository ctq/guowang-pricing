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 tabRatio="804" activeTab="1"/>
  </bookViews>
  <sheets>
    <sheet name="说明" sheetId="54" r:id="rId1"/>
    <sheet name="区间平均价浮动法" sheetId="43" r:id="rId2"/>
    <sheet name="区间平均价浮动法（折扣率）" sheetId="31" r:id="rId3"/>
    <sheet name="区间复合平均价法（次低价平均)" sheetId="44" r:id="rId4"/>
    <sheet name="区间复合一次平均价法" sheetId="48" r:id="rId5"/>
    <sheet name="区间复合平均价浮动法" sheetId="53" r:id="rId6"/>
    <sheet name="简单算术平均值法" sheetId="46" r:id="rId7"/>
    <sheet name="算术平均值下浮法" sheetId="47" r:id="rId8"/>
    <sheet name="区间平均下浮双边曲线算法" sheetId="55" r:id="rId9"/>
    <sheet name="最低价法" sheetId="56" r:id="rId10"/>
  </sheets>
  <definedNames>
    <definedName name="_xlnm._FilterDatabase" localSheetId="1" hidden="1">区间平均价浮动法!$A$1:$G$70</definedName>
    <definedName name="_xlnm._FilterDatabase" localSheetId="2" hidden="1">'区间平均价浮动法（折扣率）'!$A$1:$G$70</definedName>
    <definedName name="_xlnm._FilterDatabase" localSheetId="3" hidden="1">'区间复合平均价法（次低价平均)'!$A$1:$E$70</definedName>
    <definedName name="_xlnm._FilterDatabase" localSheetId="4" hidden="1">区间复合一次平均价法!$A$1:$E$12</definedName>
    <definedName name="_xlnm._FilterDatabase" localSheetId="5" hidden="1">区间复合平均价浮动法!$A$1:$E$35</definedName>
    <definedName name="_xlnm._FilterDatabase" localSheetId="6" hidden="1">简单算术平均值法!$A$1:$D$16</definedName>
    <definedName name="_xlnm._FilterDatabase" localSheetId="7" hidden="1">算术平均值下浮法!$A$1:$D$16</definedName>
    <definedName name="_xlnm._FilterDatabase" localSheetId="8" hidden="1">区间平均下浮双边曲线算法!$A$1:$F$16</definedName>
    <definedName name="_xlnm._FilterDatabase" localSheetId="9" hidden="1">最低价法!$A$1:$D$16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likeh</author>
  </authors>
  <commentList>
    <comment ref="J6" authorId="0">
      <text>
        <r>
          <rPr>
            <b/>
            <sz val="9"/>
            <rFont val="宋体"/>
            <charset val="134"/>
          </rPr>
          <t>likeh:</t>
        </r>
        <r>
          <rPr>
            <sz val="9"/>
            <rFont val="宋体"/>
            <charset val="134"/>
          </rPr>
          <t xml:space="preserve">
c值一般看招标文件或者ecp2.0平台公示</t>
        </r>
      </text>
    </comment>
  </commentList>
</comments>
</file>

<file path=xl/sharedStrings.xml><?xml version="1.0" encoding="utf-8"?>
<sst xmlns="http://schemas.openxmlformats.org/spreadsheetml/2006/main" count="540" uniqueCount="128">
  <si>
    <t>填入招标文件或ECP公示的价格分相关的参数</t>
  </si>
  <si>
    <t>公式自动计算所得</t>
  </si>
  <si>
    <t>突出显示关键开标指标</t>
  </si>
  <si>
    <t>投标人名称</t>
  </si>
  <si>
    <t>投标价格</t>
  </si>
  <si>
    <t>得分</t>
  </si>
  <si>
    <t>排名</t>
  </si>
  <si>
    <t>去掉极值</t>
  </si>
  <si>
    <t>去范围外</t>
  </si>
  <si>
    <t>参数：需按招标文件手工填入</t>
  </si>
  <si>
    <t>投标人1</t>
  </si>
  <si>
    <t>w1</t>
  </si>
  <si>
    <t>投标人2</t>
  </si>
  <si>
    <t>w2</t>
  </si>
  <si>
    <t>投标人3</t>
  </si>
  <si>
    <t>n1</t>
  </si>
  <si>
    <t>投标人4</t>
  </si>
  <si>
    <t>n2</t>
  </si>
  <si>
    <t>投标人5</t>
  </si>
  <si>
    <t>c</t>
  </si>
  <si>
    <t>投标人6</t>
  </si>
  <si>
    <t>限价</t>
  </si>
  <si>
    <t>投标人7</t>
  </si>
  <si>
    <t>价格分占比</t>
  </si>
  <si>
    <t>投标人8</t>
  </si>
  <si>
    <t>投标人9</t>
  </si>
  <si>
    <t>投标人10</t>
  </si>
  <si>
    <t>辅助计算</t>
  </si>
  <si>
    <t>投标人11</t>
  </si>
  <si>
    <t>投标人数量</t>
  </si>
  <si>
    <t>投标人12</t>
  </si>
  <si>
    <t>A1</t>
  </si>
  <si>
    <t>投标人13</t>
  </si>
  <si>
    <t>有效报价下限</t>
  </si>
  <si>
    <t>投标人14</t>
  </si>
  <si>
    <t>有效报价上限</t>
  </si>
  <si>
    <t>投标人15</t>
  </si>
  <si>
    <t>A2</t>
  </si>
  <si>
    <t>投标人16</t>
  </si>
  <si>
    <t>基准价B</t>
  </si>
  <si>
    <t>投标人17</t>
  </si>
  <si>
    <t>基准价折扣率</t>
  </si>
  <si>
    <t>投标人18</t>
  </si>
  <si>
    <t>投标人19</t>
  </si>
  <si>
    <t>目标公司价格得分分析</t>
  </si>
  <si>
    <t>投标人20</t>
  </si>
  <si>
    <t>填入投标主体公司全称</t>
  </si>
  <si>
    <t>投标人21</t>
  </si>
  <si>
    <t>目标公司得分</t>
  </si>
  <si>
    <t>投标人22</t>
  </si>
  <si>
    <t>目标公司排名</t>
  </si>
  <si>
    <t>投标人23</t>
  </si>
  <si>
    <t>第1名得分</t>
  </si>
  <si>
    <t>投标人24</t>
  </si>
  <si>
    <t>价格分差</t>
  </si>
  <si>
    <t>投标人25</t>
  </si>
  <si>
    <t>按价格分占比折算后分差</t>
  </si>
  <si>
    <t>投标人26</t>
  </si>
  <si>
    <t>投标人27</t>
  </si>
  <si>
    <t>投标人28</t>
  </si>
  <si>
    <t>投标人29</t>
  </si>
  <si>
    <t>投标人30</t>
  </si>
  <si>
    <t>投标人31</t>
  </si>
  <si>
    <t>投标人32</t>
  </si>
  <si>
    <t>投标人33</t>
  </si>
  <si>
    <t>投标人34</t>
  </si>
  <si>
    <t>投标人35</t>
  </si>
  <si>
    <t>投标人36</t>
  </si>
  <si>
    <t>投标人37</t>
  </si>
  <si>
    <t>投标人38</t>
  </si>
  <si>
    <t>投标人39</t>
  </si>
  <si>
    <t>投标人40</t>
  </si>
  <si>
    <t>投标人41</t>
  </si>
  <si>
    <t>投标人42</t>
  </si>
  <si>
    <t>投标人43</t>
  </si>
  <si>
    <t>投标人44</t>
  </si>
  <si>
    <t>投标人45</t>
  </si>
  <si>
    <t>投标人46</t>
  </si>
  <si>
    <t>投标人47</t>
  </si>
  <si>
    <t>投标人48</t>
  </si>
  <si>
    <t>投标人49</t>
  </si>
  <si>
    <t>投标人50</t>
  </si>
  <si>
    <t>投标人51</t>
  </si>
  <si>
    <t>投标人52</t>
  </si>
  <si>
    <t>投标人53</t>
  </si>
  <si>
    <t>投标人54</t>
  </si>
  <si>
    <t>投标人55</t>
  </si>
  <si>
    <t>投标人56</t>
  </si>
  <si>
    <t>投标人57</t>
  </si>
  <si>
    <t>投标人58</t>
  </si>
  <si>
    <t>投标人59</t>
  </si>
  <si>
    <t>投标人60</t>
  </si>
  <si>
    <t>投标人61</t>
  </si>
  <si>
    <t>投标人62</t>
  </si>
  <si>
    <t>投标人63</t>
  </si>
  <si>
    <t>投标人64</t>
  </si>
  <si>
    <t>投标人65</t>
  </si>
  <si>
    <t>投标人66</t>
  </si>
  <si>
    <t>投标人67</t>
  </si>
  <si>
    <t>不开标</t>
  </si>
  <si>
    <t>区间下限</t>
  </si>
  <si>
    <t>区间上限</t>
  </si>
  <si>
    <t>包限价</t>
  </si>
  <si>
    <t>M</t>
  </si>
  <si>
    <t>投标人68</t>
  </si>
  <si>
    <t>投标人69</t>
  </si>
  <si>
    <t>投标人</t>
  </si>
  <si>
    <t>报价</t>
  </si>
  <si>
    <t>去处极端值</t>
  </si>
  <si>
    <t>P个有效投标人</t>
  </si>
  <si>
    <t>m（报价&gt;=基准价）</t>
  </si>
  <si>
    <t>m（报价&lt;基准价）</t>
  </si>
  <si>
    <t>n</t>
  </si>
  <si>
    <t>P个投标人里的最低值</t>
  </si>
  <si>
    <t>A3基准价/A4</t>
  </si>
  <si>
    <t>投标价</t>
  </si>
  <si>
    <t>去除上下限</t>
  </si>
  <si>
    <t>价格得分</t>
  </si>
  <si>
    <t>是否有效</t>
  </si>
  <si>
    <t>a</t>
  </si>
  <si>
    <t>b</t>
  </si>
  <si>
    <t>算术平均值</t>
  </si>
  <si>
    <t>基准价</t>
  </si>
  <si>
    <t>是否范围内</t>
  </si>
  <si>
    <t>F1</t>
  </si>
  <si>
    <t>F2</t>
  </si>
  <si>
    <t>m</t>
  </si>
  <si>
    <t>基准价（即最低价）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</si>
</sst>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00_ ;_ * \-#,##0.000000_ ;_ * &quot;-&quot;??.0000_ ;_ @_ "/>
    <numFmt numFmtId="177" formatCode="0.0000_ "/>
    <numFmt numFmtId="178" formatCode="0.000%"/>
    <numFmt numFmtId="179" formatCode="_ * #,##0.000000_ ;_ * \-#,##0.000000_ ;_ * &quot;-&quot;??_ ;_ @_ "/>
    <numFmt numFmtId="180" formatCode="0.0000%"/>
    <numFmt numFmtId="181" formatCode="0.0%"/>
    <numFmt numFmtId="182" formatCode="_ * #,##0.0000_ ;_ * \-#,##0.0000_ ;_ * &quot;-&quot;??.00_ ;_ @_ "/>
    <numFmt numFmtId="183" formatCode="_ * #,##0.0000_ ;_ * \-#,##0.0000_ ;_ * &quot;-&quot;??_ ;_ @_ "/>
    <numFmt numFmtId="184" formatCode="0.0000"/>
    <numFmt numFmtId="185" formatCode="0_);[Red]\(0\)"/>
    <numFmt numFmtId="186" formatCode="0.000000"/>
    <numFmt numFmtId="187" formatCode="_ * #,##0.0_ ;_ * \-#,##0.0_ ;_ 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SimSun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0" fontId="26" fillId="0" borderId="0">
      <alignment vertical="center"/>
    </xf>
    <xf numFmtId="0" fontId="27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0" fillId="0" borderId="0"/>
    <xf numFmtId="0" fontId="27" fillId="0" borderId="0"/>
    <xf numFmtId="0" fontId="25" fillId="0" borderId="0"/>
    <xf numFmtId="43" fontId="0" fillId="0" borderId="0" applyFont="0" applyFill="0" applyBorder="0" applyAlignment="0" applyProtection="0">
      <alignment vertical="center"/>
    </xf>
    <xf numFmtId="0" fontId="28" fillId="0" borderId="0"/>
  </cellStyleXfs>
  <cellXfs count="84">
    <xf numFmtId="0" fontId="0" fillId="0" borderId="0" xfId="0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176" fontId="0" fillId="2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0" fontId="0" fillId="0" borderId="0" xfId="3" applyNumberFormat="1" applyFont="1">
      <alignment vertical="center"/>
    </xf>
    <xf numFmtId="0" fontId="0" fillId="0" borderId="1" xfId="0" applyFont="1" applyFill="1" applyBorder="1" applyAlignment="1">
      <alignment vertical="center"/>
    </xf>
    <xf numFmtId="43" fontId="0" fillId="2" borderId="1" xfId="1" applyNumberFormat="1" applyFont="1" applyFill="1" applyBorder="1">
      <alignment vertical="center"/>
    </xf>
    <xf numFmtId="9" fontId="0" fillId="2" borderId="1" xfId="3" applyNumberFormat="1" applyFont="1" applyFill="1" applyBorder="1">
      <alignment vertical="center"/>
    </xf>
    <xf numFmtId="178" fontId="0" fillId="0" borderId="0" xfId="3" applyNumberFormat="1" applyFont="1">
      <alignment vertical="center"/>
    </xf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10" fontId="2" fillId="4" borderId="1" xfId="3" applyNumberFormat="1" applyFont="1" applyFill="1" applyBorder="1" applyAlignment="1">
      <alignment vertical="center"/>
    </xf>
    <xf numFmtId="179" fontId="0" fillId="2" borderId="1" xfId="1" applyNumberFormat="1" applyFont="1" applyFill="1" applyBorder="1">
      <alignment vertical="center"/>
    </xf>
    <xf numFmtId="176" fontId="0" fillId="0" borderId="1" xfId="1" applyNumberFormat="1" applyFont="1" applyFill="1" applyBorder="1">
      <alignment vertical="center"/>
    </xf>
    <xf numFmtId="176" fontId="0" fillId="2" borderId="0" xfId="1" applyNumberFormat="1" applyFont="1" applyFill="1">
      <alignment vertical="center"/>
    </xf>
    <xf numFmtId="176" fontId="0" fillId="0" borderId="1" xfId="0" applyNumberFormat="1" applyFont="1" applyFill="1" applyBorder="1" applyAlignment="1">
      <alignment vertical="center"/>
    </xf>
    <xf numFmtId="180" fontId="0" fillId="0" borderId="0" xfId="3" applyNumberFormat="1" applyFo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181" fontId="0" fillId="2" borderId="1" xfId="3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1" xfId="3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6" fontId="0" fillId="2" borderId="0" xfId="3" applyNumberFormat="1" applyFont="1" applyFill="1" applyBorder="1" applyAlignment="1">
      <alignment vertical="center"/>
    </xf>
    <xf numFmtId="182" fontId="0" fillId="0" borderId="0" xfId="0" applyNumberFormat="1" applyFill="1" applyAlignment="1">
      <alignment vertical="center"/>
    </xf>
    <xf numFmtId="10" fontId="0" fillId="0" borderId="0" xfId="3" applyNumberFormat="1" applyFont="1" applyFill="1">
      <alignment vertical="center"/>
    </xf>
    <xf numFmtId="9" fontId="0" fillId="2" borderId="1" xfId="0" applyNumberFormat="1" applyFill="1" applyBorder="1" applyAlignment="1">
      <alignment vertical="center"/>
    </xf>
    <xf numFmtId="9" fontId="0" fillId="2" borderId="1" xfId="3" applyNumberFormat="1" applyFill="1" applyBorder="1" applyAlignment="1">
      <alignment vertical="center"/>
    </xf>
    <xf numFmtId="9" fontId="0" fillId="2" borderId="1" xfId="3" applyFont="1" applyFill="1" applyBorder="1">
      <alignment vertical="center"/>
    </xf>
    <xf numFmtId="176" fontId="2" fillId="3" borderId="1" xfId="3" applyNumberFormat="1" applyFont="1" applyFill="1" applyBorder="1" applyProtection="1">
      <alignment vertical="center"/>
    </xf>
    <xf numFmtId="0" fontId="0" fillId="0" borderId="0" xfId="0" applyFill="1" applyAlignment="1">
      <alignment vertical="center" wrapText="1"/>
    </xf>
    <xf numFmtId="183" fontId="0" fillId="2" borderId="0" xfId="1" applyNumberFormat="1" applyFont="1" applyFill="1">
      <alignment vertical="center"/>
    </xf>
    <xf numFmtId="184" fontId="0" fillId="0" borderId="0" xfId="0" applyNumberFormat="1" applyFill="1" applyAlignment="1">
      <alignment vertical="center"/>
    </xf>
    <xf numFmtId="9" fontId="0" fillId="2" borderId="1" xfId="0" applyNumberFormat="1" applyFont="1" applyFill="1" applyBorder="1" applyAlignment="1">
      <alignment vertical="center"/>
    </xf>
    <xf numFmtId="9" fontId="0" fillId="2" borderId="1" xfId="3" applyFill="1" applyBorder="1" applyAlignment="1">
      <alignment vertical="center"/>
    </xf>
    <xf numFmtId="183" fontId="0" fillId="2" borderId="1" xfId="1" applyNumberFormat="1" applyFont="1" applyFill="1" applyBorder="1">
      <alignment vertical="center"/>
    </xf>
    <xf numFmtId="9" fontId="0" fillId="2" borderId="0" xfId="3" applyFont="1" applyFill="1" applyBorder="1">
      <alignment vertical="center"/>
    </xf>
    <xf numFmtId="185" fontId="0" fillId="3" borderId="1" xfId="1" applyNumberFormat="1" applyFont="1" applyFill="1" applyBorder="1" applyProtection="1">
      <alignment vertical="center"/>
    </xf>
    <xf numFmtId="186" fontId="0" fillId="0" borderId="0" xfId="0" applyNumberFormat="1" applyFill="1" applyAlignment="1">
      <alignment vertical="center"/>
    </xf>
    <xf numFmtId="176" fontId="0" fillId="3" borderId="1" xfId="0" applyNumberFormat="1" applyFill="1" applyBorder="1" applyAlignment="1">
      <alignment vertical="center"/>
    </xf>
    <xf numFmtId="176" fontId="0" fillId="3" borderId="1" xfId="3" applyNumberFormat="1" applyFont="1" applyFill="1" applyBorder="1" applyProtection="1">
      <alignment vertical="center"/>
    </xf>
    <xf numFmtId="176" fontId="0" fillId="3" borderId="1" xfId="3" applyNumberFormat="1" applyFont="1" applyFill="1" applyBorder="1">
      <alignment vertical="center"/>
    </xf>
    <xf numFmtId="10" fontId="0" fillId="4" borderId="1" xfId="3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43" fontId="0" fillId="2" borderId="0" xfId="1" applyNumberFormat="1" applyFont="1" applyFill="1">
      <alignment vertical="center"/>
    </xf>
    <xf numFmtId="183" fontId="0" fillId="0" borderId="0" xfId="1" applyNumberFormat="1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43" fontId="1" fillId="0" borderId="0" xfId="1" applyNumberFormat="1" applyFont="1" applyFill="1" applyAlignment="1">
      <alignment horizontal="center" vertical="center"/>
    </xf>
    <xf numFmtId="183" fontId="1" fillId="0" borderId="0" xfId="1" applyNumberFormat="1" applyFont="1" applyFill="1" applyAlignment="1">
      <alignment horizontal="center" vertical="center"/>
    </xf>
    <xf numFmtId="43" fontId="0" fillId="2" borderId="0" xfId="0" applyNumberFormat="1" applyFont="1" applyFill="1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9" fontId="0" fillId="2" borderId="0" xfId="3" applyNumberFormat="1" applyFont="1" applyFill="1" applyBorder="1">
      <alignment vertical="center"/>
    </xf>
    <xf numFmtId="43" fontId="0" fillId="3" borderId="1" xfId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80" fontId="0" fillId="2" borderId="0" xfId="3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180" fontId="5" fillId="0" borderId="0" xfId="3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182" fontId="0" fillId="0" borderId="0" xfId="0" applyNumberFormat="1" applyFont="1" applyFill="1" applyBorder="1" applyAlignment="1">
      <alignment vertical="center"/>
    </xf>
    <xf numFmtId="187" fontId="0" fillId="2" borderId="1" xfId="1" applyNumberFormat="1" applyFont="1" applyFill="1" applyBorder="1">
      <alignment vertical="center"/>
    </xf>
    <xf numFmtId="180" fontId="0" fillId="2" borderId="1" xfId="3" applyNumberFormat="1" applyFont="1" applyFill="1" applyBorder="1">
      <alignment vertical="center"/>
    </xf>
    <xf numFmtId="185" fontId="0" fillId="3" borderId="1" xfId="1" applyNumberFormat="1" applyFont="1" applyFill="1" applyBorder="1">
      <alignment vertical="center"/>
    </xf>
    <xf numFmtId="180" fontId="0" fillId="3" borderId="1" xfId="3" applyNumberFormat="1" applyFont="1" applyFill="1" applyBorder="1">
      <alignment vertical="center"/>
    </xf>
    <xf numFmtId="180" fontId="0" fillId="3" borderId="1" xfId="3" applyNumberFormat="1" applyFont="1" applyFill="1" applyBorder="1" applyProtection="1">
      <alignment vertical="center"/>
    </xf>
    <xf numFmtId="180" fontId="0" fillId="4" borderId="1" xfId="3" applyNumberFormat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176" fontId="5" fillId="0" borderId="0" xfId="3" applyNumberFormat="1" applyFont="1" applyFill="1" applyBorder="1" applyAlignment="1" applyProtection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8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7" xfId="50"/>
    <cellStyle name="常规 2" xfId="51"/>
    <cellStyle name="常规 2 2" xfId="52"/>
    <cellStyle name="常规 2 2 2" xfId="53"/>
    <cellStyle name="常规 2 2 2 2" xfId="54"/>
    <cellStyle name="常规 2 2 3" xfId="55"/>
    <cellStyle name="常规 2 2 3 2" xfId="56"/>
    <cellStyle name="常规 2 2 3 2 2" xfId="57"/>
    <cellStyle name="常规 2 2 4" xfId="58"/>
    <cellStyle name="常规 2 2 6" xfId="59"/>
    <cellStyle name="常规 2 3" xfId="60"/>
    <cellStyle name="常规 2 3 2" xfId="61"/>
    <cellStyle name="常规 2 4" xfId="62"/>
    <cellStyle name="常规 2 5" xfId="63"/>
    <cellStyle name="常规 2 6" xfId="64"/>
    <cellStyle name="常规 3" xfId="65"/>
    <cellStyle name="常规 3 2" xfId="66"/>
    <cellStyle name="常规 3 2 2" xfId="67"/>
    <cellStyle name="常规 3 2 3" xfId="68"/>
    <cellStyle name="常规 3 2 4" xfId="69"/>
    <cellStyle name="常规 3 2 5" xfId="70"/>
    <cellStyle name="常规 3 3" xfId="71"/>
    <cellStyle name="常规 3 3 2" xfId="72"/>
    <cellStyle name="常规 4" xfId="73"/>
    <cellStyle name="常规 4 2" xfId="74"/>
    <cellStyle name="常规 5" xfId="75"/>
    <cellStyle name="常规 5 2" xfId="76"/>
    <cellStyle name="常规 6" xfId="77"/>
    <cellStyle name="常规 6 2" xfId="78"/>
    <cellStyle name="常规 6 3" xfId="79"/>
    <cellStyle name="常规 7" xfId="80"/>
    <cellStyle name="常规 8" xfId="81"/>
    <cellStyle name="常规 8 2" xfId="82"/>
    <cellStyle name="常规 9" xfId="83"/>
    <cellStyle name="千位分隔 2" xfId="84"/>
    <cellStyle name="样式 1" xfId="8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9"/>
  <sheetViews>
    <sheetView zoomScale="145" zoomScaleNormal="145" workbookViewId="0">
      <selection activeCell="B26" sqref="B26"/>
    </sheetView>
  </sheetViews>
  <sheetFormatPr defaultColWidth="8.72727272727273" defaultRowHeight="14"/>
  <cols>
    <col min="2" max="2" width="31.2727272727273" customWidth="1"/>
  </cols>
  <sheetData>
    <row r="2" spans="2:14">
      <c r="B2" s="80" t="s">
        <v>0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2:14">
      <c r="B3" s="82" t="s">
        <v>1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2:14">
      <c r="B4" s="83" t="s">
        <v>2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</row>
    <row r="5" spans="2:14"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</row>
    <row r="6" spans="2:14"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</row>
    <row r="7" spans="2:14"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</row>
    <row r="8" spans="2:14"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2:14"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spans="2:14"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</row>
    <row r="11" spans="2:14"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</row>
    <row r="12" spans="2:14"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</row>
    <row r="13" spans="2:14"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</row>
    <row r="14" spans="2:14"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</row>
    <row r="15" spans="2:14"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</row>
    <row r="16" spans="2:14"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</row>
    <row r="17" spans="4:14"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</row>
    <row r="18" spans="4:14"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</row>
    <row r="19" spans="4:14"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workbookViewId="0">
      <pane ySplit="26" topLeftCell="A27" activePane="bottomLeft" state="frozen"/>
      <selection/>
      <selection pane="bottomLeft" activeCell="D23" sqref="D23"/>
    </sheetView>
  </sheetViews>
  <sheetFormatPr defaultColWidth="9.81818181818182" defaultRowHeight="14"/>
  <cols>
    <col min="1" max="1" width="14.8545454545455" style="6" customWidth="1"/>
    <col min="2" max="2" width="14" style="30"/>
    <col min="3" max="3" width="12.9090909090909" style="65"/>
    <col min="4" max="4" width="9.97272727272727" style="66"/>
    <col min="5" max="5" width="4.59090909090909" style="66" customWidth="1"/>
    <col min="6" max="7" width="12.1727272727273" style="3" customWidth="1"/>
    <col min="8" max="8" width="6.47272727272727" style="3" customWidth="1"/>
    <col min="9" max="9" width="29.8181818181818" style="3" customWidth="1"/>
    <col min="10" max="10" width="14" style="3"/>
    <col min="11" max="12" width="12.8181818181818" style="3"/>
    <col min="13" max="16384" width="9.81818181818182" style="3"/>
  </cols>
  <sheetData>
    <row r="1" s="3" customFormat="1" ht="14.5" spans="1:10">
      <c r="A1" s="67" t="s">
        <v>3</v>
      </c>
      <c r="B1" s="79" t="s">
        <v>4</v>
      </c>
      <c r="C1" s="69" t="s">
        <v>5</v>
      </c>
      <c r="D1" s="70" t="s">
        <v>6</v>
      </c>
      <c r="E1" s="70"/>
      <c r="F1" s="70" t="s">
        <v>7</v>
      </c>
      <c r="G1" s="70" t="s">
        <v>8</v>
      </c>
      <c r="I1" s="5" t="s">
        <v>9</v>
      </c>
    </row>
    <row r="2" s="3" customFormat="1" spans="1:10">
      <c r="A2" s="6" t="s">
        <v>10</v>
      </c>
      <c r="B2" s="30">
        <v>778.700007</v>
      </c>
      <c r="C2" s="71">
        <f>IF(B2="不开标",0,ROUND(100-100*IF(B2&gt;=J$17,J$4,J$5)*ABS(B2-J$17)/J$17,4))</f>
        <v>99.994</v>
      </c>
      <c r="D2" s="66">
        <f>IF(B2="不开标","",_xlfn.RANK.EQ(C2,C:C,0))</f>
        <v>1</v>
      </c>
      <c r="E2" s="66"/>
      <c r="F2" s="3" t="b">
        <f t="shared" ref="F2:F34" si="0">IF(B2="不开标",FALSE,IF($J$12&lt;=5,TRUE,IF($J$12&lt;=10,IF(OR(B2=MAX($B:$B),B2=MIN($B:$B)),FALSE,TRUE),IF($J$12&lt;=20,IF(OR(B2=LARGE($B:$B,1),B2=LARGE($B:$B,2),B2=MIN($B:$B)),FALSE,TRUE),IF($J$12&lt;=30,IF(OR(B2=LARGE($B:$B,1),B2=LARGE($B:$B,2),B2=LARGE($B:$B,3),B2=SMALL($B:$B,1),B2=SMALL($B:$B,2)),FALSE,TRUE),IF(OR(B2=LARGE($B:$B,1),B2=LARGE($B:$B,2),B2=LARGE($B:$B,3),B2=LARGE($B:$B,4),B2=SMALL($B:$B,1),B2=SMALL($B:$B,2),B2=SMALL($B:$B,3)),FALSE,TRUE))))))</f>
        <v>1</v>
      </c>
      <c r="G2" s="3" t="b">
        <f>IF(F2=TRUE,IF(AND(B2&lt;J$14,B2&gt;J$15),FALSE,TRUE),FALSE)</f>
        <v>1</v>
      </c>
      <c r="I2" s="11" t="s">
        <v>11</v>
      </c>
      <c r="J2" s="40">
        <v>-0.15</v>
      </c>
    </row>
    <row r="3" s="3" customFormat="1" spans="1:10">
      <c r="A3" s="6" t="s">
        <v>12</v>
      </c>
      <c r="B3" s="30">
        <v>779.09659</v>
      </c>
      <c r="C3" s="71">
        <f t="shared" ref="C3:C34" si="1">IF(B3="不开标",0,ROUND(100-100*IF(B3&gt;=J$17,J$4,J$5)*ABS(B3-J$17)/J$17,4))</f>
        <v>99.961</v>
      </c>
      <c r="D3" s="66">
        <f t="shared" ref="D3:D34" si="2">IF(B3="不开标","",_xlfn.RANK.EQ(C3,C:C,0))</f>
        <v>2</v>
      </c>
      <c r="E3" s="66"/>
      <c r="F3" s="3" t="b">
        <f t="shared" si="0"/>
        <v>1</v>
      </c>
      <c r="G3" s="3" t="b">
        <f t="shared" ref="G2:G66" si="3">IF(F3=TRUE,IF(AND(B3&lt;J$14,B3&gt;J$15),FALSE,TRUE),FALSE)</f>
        <v>1</v>
      </c>
      <c r="I3" s="11" t="s">
        <v>13</v>
      </c>
      <c r="J3" s="40">
        <v>0.1</v>
      </c>
    </row>
    <row r="4" s="3" customFormat="1" spans="1:10">
      <c r="A4" s="6" t="s">
        <v>14</v>
      </c>
      <c r="B4" s="30">
        <v>778.129412</v>
      </c>
      <c r="C4" s="71">
        <f t="shared" si="1"/>
        <v>99.9574</v>
      </c>
      <c r="D4" s="66">
        <f t="shared" si="2"/>
        <v>3</v>
      </c>
      <c r="E4" s="66"/>
      <c r="F4" s="3" t="b">
        <f t="shared" si="0"/>
        <v>1</v>
      </c>
      <c r="G4" s="3" t="b">
        <f t="shared" si="3"/>
        <v>1</v>
      </c>
      <c r="I4" s="11" t="s">
        <v>15</v>
      </c>
      <c r="J4" s="72">
        <v>1</v>
      </c>
    </row>
    <row r="5" s="3" customFormat="1" spans="1:10">
      <c r="A5" s="6" t="s">
        <v>16</v>
      </c>
      <c r="B5" s="30">
        <v>779.2932</v>
      </c>
      <c r="C5" s="71">
        <f t="shared" si="1"/>
        <v>99.9358</v>
      </c>
      <c r="D5" s="66">
        <f t="shared" si="2"/>
        <v>4</v>
      </c>
      <c r="E5" s="66"/>
      <c r="F5" s="3" t="b">
        <f t="shared" si="0"/>
        <v>1</v>
      </c>
      <c r="G5" s="3" t="b">
        <f t="shared" si="3"/>
        <v>1</v>
      </c>
      <c r="I5" s="11" t="s">
        <v>17</v>
      </c>
      <c r="J5" s="72">
        <v>0.5</v>
      </c>
    </row>
    <row r="6" s="3" customFormat="1" spans="1:10">
      <c r="A6" s="6" t="s">
        <v>18</v>
      </c>
      <c r="B6" s="30">
        <v>779.361701</v>
      </c>
      <c r="C6" s="71">
        <f t="shared" si="1"/>
        <v>99.927</v>
      </c>
      <c r="D6" s="66">
        <f t="shared" si="2"/>
        <v>5</v>
      </c>
      <c r="E6" s="66"/>
      <c r="F6" s="3" t="b">
        <f t="shared" si="0"/>
        <v>1</v>
      </c>
      <c r="G6" s="3" t="b">
        <f t="shared" si="3"/>
        <v>1</v>
      </c>
      <c r="I6" s="11" t="s">
        <v>19</v>
      </c>
      <c r="J6" s="73">
        <v>0.01</v>
      </c>
    </row>
    <row r="7" s="3" customFormat="1" spans="1:10">
      <c r="A7" s="6" t="s">
        <v>20</v>
      </c>
      <c r="B7" s="30">
        <v>779.380005</v>
      </c>
      <c r="C7" s="71">
        <f t="shared" si="1"/>
        <v>99.9247</v>
      </c>
      <c r="D7" s="66">
        <f t="shared" si="2"/>
        <v>6</v>
      </c>
      <c r="E7" s="66"/>
      <c r="F7" s="3" t="b">
        <f t="shared" si="0"/>
        <v>1</v>
      </c>
      <c r="G7" s="3" t="b">
        <f t="shared" si="3"/>
        <v>1</v>
      </c>
      <c r="I7" s="11" t="s">
        <v>21</v>
      </c>
      <c r="J7" s="19">
        <v>785.165309677</v>
      </c>
    </row>
    <row r="8" s="3" customFormat="1" spans="1:10">
      <c r="A8" s="6" t="s">
        <v>22</v>
      </c>
      <c r="B8" s="30">
        <v>779.4175</v>
      </c>
      <c r="C8" s="71">
        <f t="shared" si="1"/>
        <v>99.9198</v>
      </c>
      <c r="D8" s="66">
        <f t="shared" si="2"/>
        <v>7</v>
      </c>
      <c r="E8" s="66"/>
      <c r="F8" s="3" t="b">
        <f t="shared" si="0"/>
        <v>1</v>
      </c>
      <c r="G8" s="3" t="b">
        <f t="shared" si="3"/>
        <v>1</v>
      </c>
      <c r="I8" s="11" t="s">
        <v>23</v>
      </c>
      <c r="J8" s="43">
        <v>0.3</v>
      </c>
    </row>
    <row r="9" s="3" customFormat="1" spans="1:10">
      <c r="A9" s="6" t="s">
        <v>24</v>
      </c>
      <c r="B9" s="30">
        <v>779.473135</v>
      </c>
      <c r="C9" s="71">
        <f t="shared" si="1"/>
        <v>99.9127</v>
      </c>
      <c r="D9" s="66">
        <f t="shared" si="2"/>
        <v>8</v>
      </c>
      <c r="E9" s="66"/>
      <c r="F9" s="3" t="b">
        <f t="shared" si="0"/>
        <v>1</v>
      </c>
      <c r="G9" s="3" t="b">
        <f t="shared" si="3"/>
        <v>1</v>
      </c>
    </row>
    <row r="10" s="3" customFormat="1" spans="1:10">
      <c r="A10" s="6" t="s">
        <v>25</v>
      </c>
      <c r="B10" s="30">
        <v>779.495679</v>
      </c>
      <c r="C10" s="71">
        <f t="shared" si="1"/>
        <v>99.9098</v>
      </c>
      <c r="D10" s="66">
        <f t="shared" si="2"/>
        <v>9</v>
      </c>
      <c r="E10" s="66"/>
      <c r="F10" s="3" t="b">
        <f t="shared" si="0"/>
        <v>1</v>
      </c>
      <c r="G10" s="3" t="b">
        <f t="shared" si="3"/>
        <v>1</v>
      </c>
    </row>
    <row r="11" s="3" customFormat="1" spans="1:10">
      <c r="A11" s="6" t="s">
        <v>26</v>
      </c>
      <c r="B11" s="30">
        <v>779.847797</v>
      </c>
      <c r="C11" s="71">
        <f t="shared" si="1"/>
        <v>99.8646</v>
      </c>
      <c r="D11" s="66">
        <f t="shared" si="2"/>
        <v>10</v>
      </c>
      <c r="E11" s="66"/>
      <c r="F11" s="3" t="b">
        <f t="shared" si="0"/>
        <v>1</v>
      </c>
      <c r="G11" s="3" t="b">
        <f t="shared" si="3"/>
        <v>1</v>
      </c>
      <c r="I11" s="5" t="s">
        <v>27</v>
      </c>
    </row>
    <row r="12" s="3" customFormat="1" spans="1:10">
      <c r="A12" s="6" t="s">
        <v>28</v>
      </c>
      <c r="B12" s="30">
        <v>780.3102</v>
      </c>
      <c r="C12" s="71">
        <f t="shared" si="1"/>
        <v>99.8052</v>
      </c>
      <c r="D12" s="66">
        <f t="shared" si="2"/>
        <v>11</v>
      </c>
      <c r="E12" s="66"/>
      <c r="F12" s="3" t="b">
        <f t="shared" si="0"/>
        <v>1</v>
      </c>
      <c r="G12" s="3" t="b">
        <f t="shared" si="3"/>
        <v>1</v>
      </c>
      <c r="I12" s="11" t="s">
        <v>29</v>
      </c>
      <c r="J12" s="44">
        <f>COUNTA(B:B)-1</f>
        <v>67</v>
      </c>
    </row>
    <row r="13" s="3" customFormat="1" spans="1:10">
      <c r="A13" s="6" t="s">
        <v>30</v>
      </c>
      <c r="B13" s="30">
        <v>775.43446</v>
      </c>
      <c r="C13" s="71">
        <f t="shared" si="1"/>
        <v>99.7844</v>
      </c>
      <c r="D13" s="66">
        <f t="shared" si="2"/>
        <v>12</v>
      </c>
      <c r="E13" s="66"/>
      <c r="F13" s="3" t="b">
        <f t="shared" si="0"/>
        <v>1</v>
      </c>
      <c r="G13" s="3" t="b">
        <f t="shared" si="3"/>
        <v>1</v>
      </c>
      <c r="I13" s="11" t="s">
        <v>31</v>
      </c>
      <c r="J13" s="47">
        <f>AVERAGEIF(F:F,TRUE,B:B)</f>
        <v>786.659791322034</v>
      </c>
    </row>
    <row r="14" s="3" customFormat="1" spans="1:10">
      <c r="A14" s="6" t="s">
        <v>32</v>
      </c>
      <c r="B14" s="30">
        <v>775.3382</v>
      </c>
      <c r="C14" s="71">
        <f t="shared" si="1"/>
        <v>99.7782</v>
      </c>
      <c r="D14" s="66">
        <f t="shared" si="2"/>
        <v>13</v>
      </c>
      <c r="E14" s="66"/>
      <c r="F14" s="3" t="b">
        <f t="shared" si="0"/>
        <v>1</v>
      </c>
      <c r="G14" s="3" t="b">
        <f t="shared" si="3"/>
        <v>1</v>
      </c>
      <c r="I14" s="11" t="s">
        <v>33</v>
      </c>
      <c r="J14" s="47">
        <f>J$13*(1+J2)</f>
        <v>668.660822623729</v>
      </c>
    </row>
    <row r="15" s="3" customFormat="1" spans="1:10">
      <c r="A15" s="6" t="s">
        <v>34</v>
      </c>
      <c r="B15" s="30">
        <v>774.705513</v>
      </c>
      <c r="C15" s="71">
        <f t="shared" si="1"/>
        <v>99.7376</v>
      </c>
      <c r="D15" s="66">
        <f t="shared" si="2"/>
        <v>14</v>
      </c>
      <c r="E15" s="66"/>
      <c r="F15" s="3" t="b">
        <f t="shared" si="0"/>
        <v>1</v>
      </c>
      <c r="G15" s="3" t="b">
        <f t="shared" si="3"/>
        <v>1</v>
      </c>
      <c r="I15" s="11" t="s">
        <v>35</v>
      </c>
      <c r="J15" s="47">
        <f>J$13*(1+J3)</f>
        <v>865.325770454237</v>
      </c>
    </row>
    <row r="16" s="3" customFormat="1" spans="1:10">
      <c r="A16" s="6" t="s">
        <v>36</v>
      </c>
      <c r="B16" s="30">
        <v>774.683239</v>
      </c>
      <c r="C16" s="71">
        <f t="shared" si="1"/>
        <v>99.7361</v>
      </c>
      <c r="D16" s="66">
        <f t="shared" si="2"/>
        <v>15</v>
      </c>
      <c r="E16" s="66"/>
      <c r="F16" s="3" t="b">
        <f t="shared" si="0"/>
        <v>1</v>
      </c>
      <c r="G16" s="3" t="b">
        <f t="shared" si="3"/>
        <v>1</v>
      </c>
      <c r="I16" s="11" t="s">
        <v>37</v>
      </c>
      <c r="J16" s="47">
        <f>AVERAGEIF(G:G,TRUE,B:B)</f>
        <v>786.659791322034</v>
      </c>
    </row>
    <row r="17" s="3" customFormat="1" spans="1:10">
      <c r="A17" s="6" t="s">
        <v>38</v>
      </c>
      <c r="B17" s="30">
        <v>781.069108</v>
      </c>
      <c r="C17" s="71">
        <f t="shared" si="1"/>
        <v>99.7078</v>
      </c>
      <c r="D17" s="66">
        <f t="shared" si="2"/>
        <v>16</v>
      </c>
      <c r="E17" s="66"/>
      <c r="F17" s="3" t="b">
        <f t="shared" si="0"/>
        <v>1</v>
      </c>
      <c r="G17" s="3" t="b">
        <f t="shared" si="3"/>
        <v>1</v>
      </c>
      <c r="I17" s="11" t="s">
        <v>39</v>
      </c>
      <c r="J17" s="48">
        <f>J16*(1-J6)</f>
        <v>778.793193408814</v>
      </c>
    </row>
    <row r="18" s="3" customFormat="1" spans="1:10">
      <c r="A18" s="6" t="s">
        <v>40</v>
      </c>
      <c r="B18" s="30">
        <v>772.7392</v>
      </c>
      <c r="C18" s="71">
        <f t="shared" si="1"/>
        <v>99.6113</v>
      </c>
      <c r="D18" s="66">
        <f t="shared" si="2"/>
        <v>17</v>
      </c>
      <c r="E18" s="66"/>
      <c r="F18" s="3" t="b">
        <f t="shared" si="0"/>
        <v>1</v>
      </c>
      <c r="G18" s="3" t="b">
        <f t="shared" si="3"/>
        <v>1</v>
      </c>
      <c r="I18" s="17" t="s">
        <v>41</v>
      </c>
      <c r="J18" s="49">
        <f>J17/J7</f>
        <v>0.991884363471423</v>
      </c>
    </row>
    <row r="19" s="3" customFormat="1" spans="1:10">
      <c r="A19" s="6" t="s">
        <v>42</v>
      </c>
      <c r="B19" s="30">
        <v>772.331044</v>
      </c>
      <c r="C19" s="71">
        <f t="shared" si="1"/>
        <v>99.5851</v>
      </c>
      <c r="D19" s="66">
        <f t="shared" si="2"/>
        <v>18</v>
      </c>
      <c r="E19" s="66"/>
      <c r="F19" s="3" t="b">
        <f t="shared" si="0"/>
        <v>1</v>
      </c>
      <c r="G19" s="3" t="b">
        <f t="shared" si="3"/>
        <v>1</v>
      </c>
    </row>
    <row r="20" s="3" customFormat="1" spans="1:10">
      <c r="A20" s="6" t="s">
        <v>43</v>
      </c>
      <c r="B20" s="30">
        <v>782.382846</v>
      </c>
      <c r="C20" s="71">
        <f t="shared" si="1"/>
        <v>99.5391</v>
      </c>
      <c r="D20" s="66">
        <f t="shared" si="2"/>
        <v>19</v>
      </c>
      <c r="E20" s="66"/>
      <c r="F20" s="3" t="b">
        <f t="shared" si="0"/>
        <v>1</v>
      </c>
      <c r="G20" s="3" t="b">
        <f t="shared" si="3"/>
        <v>1</v>
      </c>
      <c r="I20" s="5" t="s">
        <v>44</v>
      </c>
    </row>
    <row r="21" s="3" customFormat="1" spans="1:10">
      <c r="A21" s="6" t="s">
        <v>45</v>
      </c>
      <c r="B21" s="30">
        <v>770.675005</v>
      </c>
      <c r="C21" s="71">
        <f t="shared" si="1"/>
        <v>99.4788</v>
      </c>
      <c r="D21" s="66">
        <f t="shared" si="2"/>
        <v>20</v>
      </c>
      <c r="E21" s="66"/>
      <c r="F21" s="3" t="b">
        <f t="shared" si="0"/>
        <v>1</v>
      </c>
      <c r="G21" s="3" t="b">
        <f t="shared" si="3"/>
        <v>1</v>
      </c>
      <c r="I21" s="19" t="s">
        <v>46</v>
      </c>
      <c r="J21" s="20" t="str">
        <f>IFERROR(VLOOKUP(I21,A:C,3,0),"")</f>
        <v/>
      </c>
    </row>
    <row r="22" s="3" customFormat="1" spans="1:10">
      <c r="A22" s="6" t="s">
        <v>47</v>
      </c>
      <c r="B22" s="30">
        <v>770.0837</v>
      </c>
      <c r="C22" s="71">
        <f t="shared" si="1"/>
        <v>99.4408</v>
      </c>
      <c r="D22" s="66">
        <f t="shared" si="2"/>
        <v>21</v>
      </c>
      <c r="E22" s="66"/>
      <c r="F22" s="3" t="b">
        <f t="shared" si="0"/>
        <v>1</v>
      </c>
      <c r="G22" s="3" t="b">
        <f t="shared" si="3"/>
        <v>1</v>
      </c>
      <c r="I22" s="11" t="s">
        <v>48</v>
      </c>
      <c r="J22" s="11" t="str">
        <f>IFERROR(VLOOKUP(I$21,A:C,3,0),"")</f>
        <v/>
      </c>
    </row>
    <row r="23" s="3" customFormat="1" spans="1:10">
      <c r="A23" s="6" t="s">
        <v>49</v>
      </c>
      <c r="B23" s="30">
        <v>783.994</v>
      </c>
      <c r="C23" s="71">
        <f t="shared" si="1"/>
        <v>99.3322</v>
      </c>
      <c r="D23" s="66">
        <f t="shared" si="2"/>
        <v>22</v>
      </c>
      <c r="E23" s="66"/>
      <c r="F23" s="3" t="b">
        <f t="shared" si="0"/>
        <v>1</v>
      </c>
      <c r="G23" s="3" t="b">
        <f t="shared" si="3"/>
        <v>1</v>
      </c>
      <c r="I23" s="17" t="s">
        <v>50</v>
      </c>
      <c r="J23" s="17" t="str">
        <f>IFERROR(VLOOKUP(I$21,A:D,4,0),"")</f>
        <v/>
      </c>
    </row>
    <row r="24" s="3" customFormat="1" spans="1:10">
      <c r="A24" s="6" t="s">
        <v>51</v>
      </c>
      <c r="B24" s="30">
        <v>767.077109</v>
      </c>
      <c r="C24" s="71">
        <f t="shared" si="1"/>
        <v>99.2478</v>
      </c>
      <c r="D24" s="66">
        <f t="shared" si="2"/>
        <v>23</v>
      </c>
      <c r="E24" s="66"/>
      <c r="F24" s="3" t="b">
        <f t="shared" si="0"/>
        <v>1</v>
      </c>
      <c r="G24" s="3" t="b">
        <f t="shared" si="3"/>
        <v>1</v>
      </c>
      <c r="I24" s="11" t="s">
        <v>52</v>
      </c>
      <c r="J24" s="22">
        <f t="array" ref="J24">MAX(C:C)</f>
        <v>99.994</v>
      </c>
    </row>
    <row r="25" s="3" customFormat="1" spans="1:10">
      <c r="A25" s="6" t="s">
        <v>53</v>
      </c>
      <c r="B25" s="30">
        <v>784.823872</v>
      </c>
      <c r="C25" s="71">
        <f t="shared" si="1"/>
        <v>99.2256</v>
      </c>
      <c r="D25" s="66">
        <f t="shared" si="2"/>
        <v>24</v>
      </c>
      <c r="E25" s="66"/>
      <c r="F25" s="3" t="b">
        <f t="shared" si="0"/>
        <v>1</v>
      </c>
      <c r="G25" s="3" t="b">
        <f t="shared" si="3"/>
        <v>1</v>
      </c>
      <c r="I25" s="11" t="s">
        <v>54</v>
      </c>
      <c r="J25" s="11" t="str">
        <f>IFERROR(J24-J22,"")</f>
        <v/>
      </c>
    </row>
    <row r="26" s="3" customFormat="1" spans="1:10">
      <c r="A26" s="6" t="s">
        <v>55</v>
      </c>
      <c r="B26" s="30">
        <v>785.35</v>
      </c>
      <c r="C26" s="71">
        <f t="shared" si="1"/>
        <v>99.1581</v>
      </c>
      <c r="D26" s="66">
        <f t="shared" si="2"/>
        <v>25</v>
      </c>
      <c r="E26" s="66"/>
      <c r="F26" s="3" t="b">
        <f t="shared" si="0"/>
        <v>1</v>
      </c>
      <c r="G26" s="3" t="b">
        <f t="shared" si="3"/>
        <v>1</v>
      </c>
      <c r="I26" s="17" t="s">
        <v>56</v>
      </c>
      <c r="J26" s="17" t="str">
        <f>IFERROR(J25*J7,"")</f>
        <v/>
      </c>
    </row>
    <row r="27" s="3" customFormat="1" spans="1:10">
      <c r="A27" s="6" t="s">
        <v>57</v>
      </c>
      <c r="B27" s="30">
        <v>765.3264</v>
      </c>
      <c r="C27" s="71">
        <f t="shared" si="1"/>
        <v>99.1354</v>
      </c>
      <c r="D27" s="66">
        <f t="shared" si="2"/>
        <v>26</v>
      </c>
      <c r="E27" s="66"/>
      <c r="F27" s="3" t="b">
        <f t="shared" si="0"/>
        <v>1</v>
      </c>
      <c r="G27" s="3" t="b">
        <f t="shared" si="3"/>
        <v>1</v>
      </c>
    </row>
    <row r="28" s="3" customFormat="1" spans="1:10">
      <c r="A28" s="6" t="s">
        <v>58</v>
      </c>
      <c r="B28" s="30">
        <v>765.293152</v>
      </c>
      <c r="C28" s="71">
        <f t="shared" si="1"/>
        <v>99.1333</v>
      </c>
      <c r="D28" s="66">
        <f t="shared" si="2"/>
        <v>27</v>
      </c>
      <c r="E28" s="66"/>
      <c r="F28" s="3" t="b">
        <f t="shared" si="0"/>
        <v>1</v>
      </c>
      <c r="G28" s="3" t="b">
        <f t="shared" si="3"/>
        <v>1</v>
      </c>
    </row>
    <row r="29" s="3" customFormat="1" spans="1:10">
      <c r="A29" s="6" t="s">
        <v>59</v>
      </c>
      <c r="B29" s="30">
        <v>763.299997</v>
      </c>
      <c r="C29" s="71">
        <f t="shared" si="1"/>
        <v>99.0053</v>
      </c>
      <c r="D29" s="66">
        <f t="shared" si="2"/>
        <v>28</v>
      </c>
      <c r="E29" s="66"/>
      <c r="F29" s="3" t="b">
        <f t="shared" si="0"/>
        <v>1</v>
      </c>
      <c r="G29" s="3" t="b">
        <f t="shared" si="3"/>
        <v>1</v>
      </c>
    </row>
    <row r="30" s="3" customFormat="1" spans="1:10">
      <c r="A30" s="6" t="s">
        <v>60</v>
      </c>
      <c r="B30" s="30">
        <v>786.619985</v>
      </c>
      <c r="C30" s="71">
        <f t="shared" si="1"/>
        <v>98.995</v>
      </c>
      <c r="D30" s="66">
        <f t="shared" si="2"/>
        <v>29</v>
      </c>
      <c r="E30" s="66"/>
      <c r="F30" s="3" t="b">
        <f t="shared" si="0"/>
        <v>1</v>
      </c>
      <c r="G30" s="3" t="b">
        <f t="shared" si="3"/>
        <v>1</v>
      </c>
    </row>
    <row r="31" s="3" customFormat="1" spans="1:10">
      <c r="A31" s="6" t="s">
        <v>61</v>
      </c>
      <c r="B31" s="30">
        <v>762.050749</v>
      </c>
      <c r="C31" s="71">
        <f t="shared" si="1"/>
        <v>98.9251</v>
      </c>
      <c r="D31" s="66">
        <f t="shared" si="2"/>
        <v>30</v>
      </c>
      <c r="E31" s="66"/>
      <c r="F31" s="3" t="b">
        <f t="shared" si="0"/>
        <v>1</v>
      </c>
      <c r="G31" s="3" t="b">
        <f t="shared" si="3"/>
        <v>1</v>
      </c>
    </row>
    <row r="32" s="3" customFormat="1" spans="1:10">
      <c r="A32" s="6" t="s">
        <v>62</v>
      </c>
      <c r="B32" s="30">
        <v>760.596672</v>
      </c>
      <c r="C32" s="71">
        <f t="shared" si="1"/>
        <v>98.8317</v>
      </c>
      <c r="D32" s="66">
        <f t="shared" si="2"/>
        <v>31</v>
      </c>
      <c r="E32" s="66"/>
      <c r="F32" s="3" t="b">
        <f t="shared" si="0"/>
        <v>1</v>
      </c>
      <c r="G32" s="3" t="b">
        <f t="shared" si="3"/>
        <v>1</v>
      </c>
    </row>
    <row r="33" s="3" customFormat="1" spans="1:7">
      <c r="A33" s="6" t="s">
        <v>63</v>
      </c>
      <c r="B33" s="30">
        <v>760.4335</v>
      </c>
      <c r="C33" s="71">
        <f t="shared" si="1"/>
        <v>98.8213</v>
      </c>
      <c r="D33" s="66">
        <f t="shared" si="2"/>
        <v>32</v>
      </c>
      <c r="E33" s="66"/>
      <c r="F33" s="3" t="b">
        <f t="shared" si="0"/>
        <v>0</v>
      </c>
      <c r="G33" s="3" t="b">
        <f t="shared" si="3"/>
        <v>0</v>
      </c>
    </row>
    <row r="34" s="3" customFormat="1" spans="1:7">
      <c r="A34" s="6" t="s">
        <v>64</v>
      </c>
      <c r="B34" s="30">
        <v>788.7174</v>
      </c>
      <c r="C34" s="71">
        <f t="shared" si="1"/>
        <v>98.7257</v>
      </c>
      <c r="D34" s="66">
        <f t="shared" si="2"/>
        <v>33</v>
      </c>
      <c r="E34" s="66"/>
      <c r="F34" s="3" t="b">
        <f t="shared" si="0"/>
        <v>1</v>
      </c>
      <c r="G34" s="3" t="b">
        <f t="shared" si="3"/>
        <v>1</v>
      </c>
    </row>
    <row r="35" s="3" customFormat="1" spans="1:7">
      <c r="A35" s="6" t="s">
        <v>65</v>
      </c>
      <c r="B35" s="30">
        <v>755.906268</v>
      </c>
      <c r="C35" s="71">
        <f t="shared" ref="C35:C68" si="4">IF(B35="不开标",0,ROUND(100-100*IF(B35&gt;=J$17,J$4,J$5)*ABS(B35-J$17)/J$17,4))</f>
        <v>98.5306</v>
      </c>
      <c r="D35" s="66">
        <f t="shared" ref="D35:D68" si="5">IF(B35="不开标","",_xlfn.RANK.EQ(C35,C:C,0))</f>
        <v>34</v>
      </c>
      <c r="E35" s="66"/>
      <c r="F35" s="3" t="b">
        <f t="shared" ref="F35:F68" si="6">IF(B35="不开标",FALSE,IF($J$12&lt;=5,TRUE,IF($J$12&lt;=10,IF(OR(B35=MAX($B:$B),B35=MIN($B:$B)),FALSE,TRUE),IF($J$12&lt;=20,IF(OR(B35=LARGE($B:$B,1),B35=LARGE($B:$B,2),B35=MIN($B:$B)),FALSE,TRUE),IF($J$12&lt;=30,IF(OR(B35=LARGE($B:$B,1),B35=LARGE($B:$B,2),B35=LARGE($B:$B,3),B35=SMALL($B:$B,1),B35=SMALL($B:$B,2)),FALSE,TRUE),IF(OR(B35=LARGE($B:$B,1),B35=LARGE($B:$B,2),B35=LARGE($B:$B,3),B35=LARGE($B:$B,4),B35=SMALL($B:$B,1),B35=SMALL($B:$B,2),B35=SMALL($B:$B,3)),FALSE,TRUE))))))</f>
        <v>0</v>
      </c>
      <c r="G35" s="3" t="b">
        <f t="shared" si="3"/>
        <v>0</v>
      </c>
    </row>
    <row r="36" s="3" customFormat="1" spans="1:7">
      <c r="A36" s="6" t="s">
        <v>66</v>
      </c>
      <c r="B36" s="30">
        <v>791</v>
      </c>
      <c r="C36" s="71">
        <f t="shared" si="4"/>
        <v>98.4326</v>
      </c>
      <c r="D36" s="66">
        <f t="shared" si="5"/>
        <v>35</v>
      </c>
      <c r="E36" s="66"/>
      <c r="F36" s="3" t="b">
        <f t="shared" si="6"/>
        <v>1</v>
      </c>
      <c r="G36" s="3" t="b">
        <f t="shared" si="3"/>
        <v>1</v>
      </c>
    </row>
    <row r="37" s="3" customFormat="1" spans="1:7">
      <c r="A37" s="6" t="s">
        <v>67</v>
      </c>
      <c r="B37" s="30">
        <v>793.440003</v>
      </c>
      <c r="C37" s="71">
        <f t="shared" si="4"/>
        <v>98.1193</v>
      </c>
      <c r="D37" s="66">
        <f t="shared" si="5"/>
        <v>36</v>
      </c>
      <c r="E37" s="66"/>
      <c r="F37" s="3" t="b">
        <f t="shared" si="6"/>
        <v>1</v>
      </c>
      <c r="G37" s="3" t="b">
        <f t="shared" si="3"/>
        <v>1</v>
      </c>
    </row>
    <row r="38" s="3" customFormat="1" spans="1:7">
      <c r="A38" s="6" t="s">
        <v>68</v>
      </c>
      <c r="B38" s="30">
        <v>793.463287</v>
      </c>
      <c r="C38" s="71">
        <f t="shared" si="4"/>
        <v>98.1163</v>
      </c>
      <c r="D38" s="66">
        <f t="shared" si="5"/>
        <v>37</v>
      </c>
      <c r="E38" s="66"/>
      <c r="F38" s="3" t="b">
        <f t="shared" si="6"/>
        <v>1</v>
      </c>
      <c r="G38" s="3" t="b">
        <f t="shared" si="3"/>
        <v>1</v>
      </c>
    </row>
    <row r="39" s="3" customFormat="1" spans="1:7">
      <c r="A39" s="6" t="s">
        <v>69</v>
      </c>
      <c r="B39" s="30">
        <v>793.463446</v>
      </c>
      <c r="C39" s="71">
        <f t="shared" si="4"/>
        <v>98.1163</v>
      </c>
      <c r="D39" s="66">
        <f t="shared" si="5"/>
        <v>37</v>
      </c>
      <c r="E39" s="66"/>
      <c r="F39" s="3" t="b">
        <f t="shared" si="6"/>
        <v>1</v>
      </c>
      <c r="G39" s="3" t="b">
        <f t="shared" si="3"/>
        <v>1</v>
      </c>
    </row>
    <row r="40" s="3" customFormat="1" spans="1:7">
      <c r="A40" s="6" t="s">
        <v>70</v>
      </c>
      <c r="B40" s="30">
        <v>793.463503</v>
      </c>
      <c r="C40" s="71">
        <f t="shared" si="4"/>
        <v>98.1163</v>
      </c>
      <c r="D40" s="66">
        <f t="shared" si="5"/>
        <v>37</v>
      </c>
      <c r="E40" s="66"/>
      <c r="F40" s="3" t="b">
        <f t="shared" si="6"/>
        <v>1</v>
      </c>
      <c r="G40" s="3" t="b">
        <f t="shared" si="3"/>
        <v>1</v>
      </c>
    </row>
    <row r="41" s="3" customFormat="1" spans="1:7">
      <c r="A41" s="6" t="s">
        <v>71</v>
      </c>
      <c r="B41" s="30">
        <v>793.929566</v>
      </c>
      <c r="C41" s="71">
        <f t="shared" si="4"/>
        <v>98.0564</v>
      </c>
      <c r="D41" s="66">
        <f t="shared" si="5"/>
        <v>40</v>
      </c>
      <c r="E41" s="66"/>
      <c r="F41" s="3" t="b">
        <f t="shared" si="6"/>
        <v>1</v>
      </c>
      <c r="G41" s="3" t="b">
        <f t="shared" si="3"/>
        <v>1</v>
      </c>
    </row>
    <row r="42" s="3" customFormat="1" spans="1:7">
      <c r="A42" s="6" t="s">
        <v>72</v>
      </c>
      <c r="B42" s="30">
        <v>794.032995</v>
      </c>
      <c r="C42" s="71">
        <f t="shared" si="4"/>
        <v>98.0432</v>
      </c>
      <c r="D42" s="66">
        <f t="shared" si="5"/>
        <v>41</v>
      </c>
      <c r="E42" s="66"/>
      <c r="F42" s="3" t="b">
        <f t="shared" si="6"/>
        <v>1</v>
      </c>
      <c r="G42" s="3" t="b">
        <f t="shared" si="3"/>
        <v>1</v>
      </c>
    </row>
    <row r="43" s="3" customFormat="1" spans="1:7">
      <c r="A43" s="6" t="s">
        <v>73</v>
      </c>
      <c r="B43" s="30">
        <v>794.403867</v>
      </c>
      <c r="C43" s="71">
        <f t="shared" si="4"/>
        <v>97.9955</v>
      </c>
      <c r="D43" s="66">
        <f t="shared" si="5"/>
        <v>42</v>
      </c>
      <c r="E43" s="66"/>
      <c r="F43" s="3" t="b">
        <f t="shared" si="6"/>
        <v>1</v>
      </c>
      <c r="G43" s="3" t="b">
        <f t="shared" si="3"/>
        <v>1</v>
      </c>
    </row>
    <row r="44" s="3" customFormat="1" spans="1:7">
      <c r="A44" s="6" t="s">
        <v>74</v>
      </c>
      <c r="B44" s="30">
        <v>794.999975</v>
      </c>
      <c r="C44" s="71">
        <f t="shared" si="4"/>
        <v>97.919</v>
      </c>
      <c r="D44" s="66">
        <f t="shared" si="5"/>
        <v>43</v>
      </c>
      <c r="E44" s="66"/>
      <c r="F44" s="3" t="b">
        <f t="shared" si="6"/>
        <v>1</v>
      </c>
      <c r="G44" s="3" t="b">
        <f t="shared" si="3"/>
        <v>1</v>
      </c>
    </row>
    <row r="45" s="3" customFormat="1" spans="1:7">
      <c r="A45" s="6" t="s">
        <v>75</v>
      </c>
      <c r="B45" s="30">
        <v>795.294</v>
      </c>
      <c r="C45" s="71">
        <f t="shared" si="4"/>
        <v>97.8812</v>
      </c>
      <c r="D45" s="66">
        <f t="shared" si="5"/>
        <v>44</v>
      </c>
      <c r="E45" s="66"/>
      <c r="F45" s="3" t="b">
        <f t="shared" si="6"/>
        <v>1</v>
      </c>
      <c r="G45" s="3" t="b">
        <f t="shared" si="3"/>
        <v>1</v>
      </c>
    </row>
    <row r="46" s="3" customFormat="1" spans="1:7">
      <c r="A46" s="6" t="s">
        <v>76</v>
      </c>
      <c r="B46" s="30">
        <v>796.281843</v>
      </c>
      <c r="C46" s="71">
        <f t="shared" si="4"/>
        <v>97.7544</v>
      </c>
      <c r="D46" s="66">
        <f t="shared" si="5"/>
        <v>45</v>
      </c>
      <c r="E46" s="66"/>
      <c r="F46" s="3" t="b">
        <f t="shared" si="6"/>
        <v>1</v>
      </c>
      <c r="G46" s="3" t="b">
        <f t="shared" si="3"/>
        <v>1</v>
      </c>
    </row>
    <row r="47" s="3" customFormat="1" spans="1:7">
      <c r="A47" s="6" t="s">
        <v>77</v>
      </c>
      <c r="B47" s="30">
        <v>797.102</v>
      </c>
      <c r="C47" s="71">
        <f t="shared" si="4"/>
        <v>97.6491</v>
      </c>
      <c r="D47" s="66">
        <f t="shared" si="5"/>
        <v>46</v>
      </c>
      <c r="E47" s="66"/>
      <c r="F47" s="3" t="b">
        <f t="shared" si="6"/>
        <v>1</v>
      </c>
      <c r="G47" s="3" t="b">
        <f t="shared" si="3"/>
        <v>1</v>
      </c>
    </row>
    <row r="48" s="3" customFormat="1" spans="1:7">
      <c r="A48" s="6" t="s">
        <v>78</v>
      </c>
      <c r="B48" s="30">
        <v>798.099112</v>
      </c>
      <c r="C48" s="71">
        <f t="shared" si="4"/>
        <v>97.521</v>
      </c>
      <c r="D48" s="66">
        <f t="shared" si="5"/>
        <v>47</v>
      </c>
      <c r="E48" s="66"/>
      <c r="F48" s="3" t="b">
        <f t="shared" si="6"/>
        <v>1</v>
      </c>
      <c r="G48" s="3" t="b">
        <f t="shared" si="3"/>
        <v>1</v>
      </c>
    </row>
    <row r="49" s="3" customFormat="1" spans="1:7">
      <c r="A49" s="6" t="s">
        <v>79</v>
      </c>
      <c r="B49" s="30">
        <v>798.1529</v>
      </c>
      <c r="C49" s="71">
        <f t="shared" si="4"/>
        <v>97.5141</v>
      </c>
      <c r="D49" s="66">
        <f t="shared" si="5"/>
        <v>48</v>
      </c>
      <c r="E49" s="66"/>
      <c r="F49" s="3" t="b">
        <f t="shared" si="6"/>
        <v>1</v>
      </c>
      <c r="G49" s="3" t="b">
        <f t="shared" si="3"/>
        <v>1</v>
      </c>
    </row>
    <row r="50" s="3" customFormat="1" spans="1:7">
      <c r="A50" s="6" t="s">
        <v>80</v>
      </c>
      <c r="B50" s="30">
        <v>798.157563</v>
      </c>
      <c r="C50" s="71">
        <f t="shared" si="4"/>
        <v>97.5135</v>
      </c>
      <c r="D50" s="66">
        <f t="shared" si="5"/>
        <v>49</v>
      </c>
      <c r="E50" s="66"/>
      <c r="F50" s="3" t="b">
        <f t="shared" si="6"/>
        <v>1</v>
      </c>
      <c r="G50" s="3" t="b">
        <f t="shared" si="3"/>
        <v>1</v>
      </c>
    </row>
    <row r="51" s="3" customFormat="1" spans="1:7">
      <c r="A51" s="6" t="s">
        <v>81</v>
      </c>
      <c r="B51" s="30">
        <v>798.158663</v>
      </c>
      <c r="C51" s="71">
        <f t="shared" si="4"/>
        <v>97.5134</v>
      </c>
      <c r="D51" s="66">
        <f t="shared" si="5"/>
        <v>50</v>
      </c>
      <c r="E51" s="66"/>
      <c r="F51" s="3" t="b">
        <f t="shared" si="6"/>
        <v>1</v>
      </c>
      <c r="G51" s="3" t="b">
        <f t="shared" si="3"/>
        <v>1</v>
      </c>
    </row>
    <row r="52" s="3" customFormat="1" spans="1:7">
      <c r="A52" s="6" t="s">
        <v>82</v>
      </c>
      <c r="B52" s="30">
        <v>798.184088</v>
      </c>
      <c r="C52" s="71">
        <f t="shared" si="4"/>
        <v>97.5101</v>
      </c>
      <c r="D52" s="66">
        <f t="shared" si="5"/>
        <v>51</v>
      </c>
      <c r="E52" s="66"/>
      <c r="F52" s="3" t="b">
        <f t="shared" si="6"/>
        <v>1</v>
      </c>
      <c r="G52" s="3" t="b">
        <f t="shared" si="3"/>
        <v>1</v>
      </c>
    </row>
    <row r="53" s="3" customFormat="1" spans="1:7">
      <c r="A53" s="6" t="s">
        <v>83</v>
      </c>
      <c r="B53" s="30">
        <v>798.254939</v>
      </c>
      <c r="C53" s="71">
        <f t="shared" si="4"/>
        <v>97.501</v>
      </c>
      <c r="D53" s="66">
        <f t="shared" si="5"/>
        <v>52</v>
      </c>
      <c r="E53" s="66"/>
      <c r="F53" s="3" t="b">
        <f t="shared" si="6"/>
        <v>1</v>
      </c>
      <c r="G53" s="3" t="b">
        <f t="shared" si="3"/>
        <v>1</v>
      </c>
    </row>
    <row r="54" s="3" customFormat="1" spans="1:7">
      <c r="A54" s="6" t="s">
        <v>84</v>
      </c>
      <c r="B54" s="30">
        <v>800.506018</v>
      </c>
      <c r="C54" s="71">
        <f t="shared" si="4"/>
        <v>97.212</v>
      </c>
      <c r="D54" s="66">
        <f t="shared" si="5"/>
        <v>53</v>
      </c>
      <c r="E54" s="66"/>
      <c r="F54" s="3" t="b">
        <f t="shared" si="6"/>
        <v>1</v>
      </c>
      <c r="G54" s="3" t="b">
        <f t="shared" si="3"/>
        <v>1</v>
      </c>
    </row>
    <row r="55" s="3" customFormat="1" spans="1:7">
      <c r="A55" s="6" t="s">
        <v>85</v>
      </c>
      <c r="B55" s="30">
        <v>801.568119</v>
      </c>
      <c r="C55" s="71">
        <f t="shared" si="4"/>
        <v>97.0756</v>
      </c>
      <c r="D55" s="66">
        <f t="shared" si="5"/>
        <v>54</v>
      </c>
      <c r="E55" s="66"/>
      <c r="F55" s="3" t="b">
        <f t="shared" si="6"/>
        <v>1</v>
      </c>
      <c r="G55" s="3" t="b">
        <f t="shared" si="3"/>
        <v>1</v>
      </c>
    </row>
    <row r="56" s="3" customFormat="1" spans="1:7">
      <c r="A56" s="6" t="s">
        <v>86</v>
      </c>
      <c r="B56" s="30">
        <v>802.0514</v>
      </c>
      <c r="C56" s="71">
        <f t="shared" si="4"/>
        <v>97.0136</v>
      </c>
      <c r="D56" s="66">
        <f t="shared" si="5"/>
        <v>55</v>
      </c>
      <c r="E56" s="66"/>
      <c r="F56" s="3" t="b">
        <f t="shared" si="6"/>
        <v>1</v>
      </c>
      <c r="G56" s="3" t="b">
        <f t="shared" si="3"/>
        <v>1</v>
      </c>
    </row>
    <row r="57" s="3" customFormat="1" spans="1:7">
      <c r="A57" s="6" t="s">
        <v>87</v>
      </c>
      <c r="B57" s="30">
        <v>806.0742</v>
      </c>
      <c r="C57" s="71">
        <f t="shared" si="4"/>
        <v>96.497</v>
      </c>
      <c r="D57" s="66">
        <f t="shared" si="5"/>
        <v>56</v>
      </c>
      <c r="E57" s="66"/>
      <c r="F57" s="3" t="b">
        <f t="shared" si="6"/>
        <v>1</v>
      </c>
      <c r="G57" s="3" t="b">
        <f t="shared" si="3"/>
        <v>1</v>
      </c>
    </row>
    <row r="58" s="3" customFormat="1" spans="1:7">
      <c r="A58" s="6" t="s">
        <v>88</v>
      </c>
      <c r="B58" s="30">
        <v>807.498</v>
      </c>
      <c r="C58" s="71">
        <f t="shared" si="4"/>
        <v>96.3142</v>
      </c>
      <c r="D58" s="66">
        <f t="shared" si="5"/>
        <v>57</v>
      </c>
      <c r="E58" s="66"/>
      <c r="F58" s="3" t="b">
        <f t="shared" si="6"/>
        <v>1</v>
      </c>
      <c r="G58" s="3" t="b">
        <f t="shared" si="3"/>
        <v>1</v>
      </c>
    </row>
    <row r="59" s="3" customFormat="1" spans="1:7">
      <c r="A59" s="6" t="s">
        <v>89</v>
      </c>
      <c r="B59" s="30">
        <v>807.677986</v>
      </c>
      <c r="C59" s="71">
        <f t="shared" si="4"/>
        <v>96.2911</v>
      </c>
      <c r="D59" s="66">
        <f t="shared" si="5"/>
        <v>58</v>
      </c>
      <c r="E59" s="66"/>
      <c r="F59" s="3" t="b">
        <f t="shared" si="6"/>
        <v>1</v>
      </c>
      <c r="G59" s="3" t="b">
        <f t="shared" si="3"/>
        <v>1</v>
      </c>
    </row>
    <row r="60" s="3" customFormat="1" spans="1:7">
      <c r="A60" s="6" t="s">
        <v>90</v>
      </c>
      <c r="B60" s="30">
        <v>808.299812</v>
      </c>
      <c r="C60" s="71">
        <f t="shared" si="4"/>
        <v>96.2112</v>
      </c>
      <c r="D60" s="66">
        <f t="shared" si="5"/>
        <v>59</v>
      </c>
      <c r="E60" s="66"/>
      <c r="F60" s="3" t="b">
        <f t="shared" si="6"/>
        <v>1</v>
      </c>
      <c r="G60" s="3" t="b">
        <f t="shared" si="3"/>
        <v>1</v>
      </c>
    </row>
    <row r="61" s="3" customFormat="1" spans="1:7">
      <c r="A61" s="6" t="s">
        <v>91</v>
      </c>
      <c r="B61" s="30">
        <v>715.66647</v>
      </c>
      <c r="C61" s="71">
        <f t="shared" si="4"/>
        <v>95.9471</v>
      </c>
      <c r="D61" s="66">
        <f t="shared" si="5"/>
        <v>60</v>
      </c>
      <c r="E61" s="66"/>
      <c r="F61" s="3" t="b">
        <f t="shared" si="6"/>
        <v>0</v>
      </c>
      <c r="G61" s="3" t="b">
        <f t="shared" si="3"/>
        <v>0</v>
      </c>
    </row>
    <row r="62" s="3" customFormat="1" spans="1:7">
      <c r="A62" s="6" t="s">
        <v>92</v>
      </c>
      <c r="B62" s="30">
        <v>810.391026</v>
      </c>
      <c r="C62" s="71">
        <f t="shared" si="4"/>
        <v>95.9427</v>
      </c>
      <c r="D62" s="66">
        <f t="shared" si="5"/>
        <v>61</v>
      </c>
      <c r="E62" s="66"/>
      <c r="F62" s="3" t="b">
        <f t="shared" si="6"/>
        <v>1</v>
      </c>
      <c r="G62" s="3" t="b">
        <f t="shared" si="3"/>
        <v>1</v>
      </c>
    </row>
    <row r="63" s="3" customFormat="1" spans="1:7">
      <c r="A63" s="6" t="s">
        <v>93</v>
      </c>
      <c r="B63" s="30">
        <v>813.8825</v>
      </c>
      <c r="C63" s="71">
        <f t="shared" si="4"/>
        <v>95.4944</v>
      </c>
      <c r="D63" s="66">
        <f t="shared" si="5"/>
        <v>62</v>
      </c>
      <c r="E63" s="66"/>
      <c r="F63" s="3" t="b">
        <f t="shared" si="6"/>
        <v>1</v>
      </c>
      <c r="G63" s="3" t="b">
        <f t="shared" si="3"/>
        <v>1</v>
      </c>
    </row>
    <row r="64" s="3" customFormat="1" spans="1:7">
      <c r="A64" s="6" t="s">
        <v>94</v>
      </c>
      <c r="B64" s="30">
        <v>815.060864</v>
      </c>
      <c r="C64" s="71">
        <f t="shared" si="4"/>
        <v>95.3431</v>
      </c>
      <c r="D64" s="66">
        <f t="shared" si="5"/>
        <v>63</v>
      </c>
      <c r="E64" s="66"/>
      <c r="F64" s="3" t="b">
        <f t="shared" si="6"/>
        <v>0</v>
      </c>
      <c r="G64" s="3" t="b">
        <f t="shared" si="3"/>
        <v>0</v>
      </c>
    </row>
    <row r="65" s="3" customFormat="1" spans="1:7">
      <c r="A65" s="6" t="s">
        <v>95</v>
      </c>
      <c r="B65" s="30">
        <v>816.9561</v>
      </c>
      <c r="C65" s="71">
        <f t="shared" si="4"/>
        <v>95.0997</v>
      </c>
      <c r="D65" s="66">
        <f t="shared" si="5"/>
        <v>64</v>
      </c>
      <c r="E65" s="66"/>
      <c r="F65" s="3" t="b">
        <f t="shared" si="6"/>
        <v>0</v>
      </c>
      <c r="G65" s="3" t="b">
        <f t="shared" si="3"/>
        <v>0</v>
      </c>
    </row>
    <row r="66" s="3" customFormat="1" spans="1:7">
      <c r="A66" s="6" t="s">
        <v>96</v>
      </c>
      <c r="B66" s="30">
        <v>831.025005</v>
      </c>
      <c r="C66" s="71">
        <f t="shared" si="4"/>
        <v>93.2932</v>
      </c>
      <c r="D66" s="66">
        <f t="shared" si="5"/>
        <v>65</v>
      </c>
      <c r="E66" s="66"/>
      <c r="F66" s="3" t="b">
        <f t="shared" si="6"/>
        <v>0</v>
      </c>
      <c r="G66" s="3" t="b">
        <f t="shared" si="3"/>
        <v>0</v>
      </c>
    </row>
    <row r="67" s="3" customFormat="1" spans="1:7">
      <c r="A67" s="6" t="s">
        <v>97</v>
      </c>
      <c r="B67" s="30">
        <v>835.64178</v>
      </c>
      <c r="C67" s="71">
        <f t="shared" si="4"/>
        <v>92.7004</v>
      </c>
      <c r="D67" s="66">
        <f t="shared" si="5"/>
        <v>66</v>
      </c>
      <c r="E67" s="66"/>
      <c r="F67" s="3" t="b">
        <f t="shared" si="6"/>
        <v>0</v>
      </c>
      <c r="G67" s="3" t="b">
        <f t="shared" ref="G66:G70" si="7">IF(F67=TRUE,IF(AND(B67&lt;J$14,B67&gt;J$15),FALSE,TRUE),FALSE)</f>
        <v>0</v>
      </c>
    </row>
    <row r="68" s="3" customFormat="1" spans="1:7">
      <c r="A68" s="6" t="s">
        <v>98</v>
      </c>
      <c r="B68" s="30" t="s">
        <v>99</v>
      </c>
      <c r="C68" s="71">
        <f t="shared" si="4"/>
        <v>0</v>
      </c>
      <c r="D68" s="66" t="str">
        <f t="shared" si="5"/>
        <v/>
      </c>
      <c r="E68" s="66"/>
      <c r="F68" s="3" t="b">
        <f t="shared" si="6"/>
        <v>0</v>
      </c>
      <c r="G68" s="3" t="b">
        <f t="shared" si="7"/>
        <v>0</v>
      </c>
    </row>
    <row r="69" s="3" customFormat="1" spans="1:7">
      <c r="A69" s="6"/>
      <c r="B69" s="30"/>
      <c r="C69" s="65"/>
      <c r="D69" s="66"/>
      <c r="E69" s="66"/>
    </row>
    <row r="70" s="3" customFormat="1" spans="1:7">
      <c r="A70" s="6"/>
      <c r="B70" s="30"/>
      <c r="C70" s="65"/>
      <c r="D70" s="66"/>
      <c r="E70" s="66"/>
    </row>
  </sheetData>
  <autoFilter xmlns:etc="http://www.wps.cn/officeDocument/2017/etCustomData" ref="A1:G70" etc:filterBottomFollowUsedRange="0">
    <sortState ref="A1:G70">
      <sortCondition ref="D1"/>
    </sortState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zoomScale="85" zoomScaleNormal="85" workbookViewId="0">
      <pane ySplit="25" topLeftCell="A26" activePane="bottomLeft" state="frozen"/>
      <selection/>
      <selection pane="bottomLeft" activeCell="A1" sqref="A1:B1"/>
    </sheetView>
  </sheetViews>
  <sheetFormatPr defaultColWidth="9.81818181818182" defaultRowHeight="14"/>
  <cols>
    <col min="1" max="1" width="20.3636363636364" style="6" customWidth="1"/>
    <col min="2" max="2" width="11.7272727272727" style="64"/>
    <col min="3" max="3" width="12.9090909090909" style="65"/>
    <col min="4" max="4" width="9.97272727272727" style="66"/>
    <col min="5" max="5" width="3.09090909090909" style="66" customWidth="1"/>
    <col min="6" max="6" width="9.97272727272727" style="3"/>
    <col min="7" max="7" width="9.81818181818182" style="3"/>
    <col min="8" max="8" width="7.27272727272727" style="3" customWidth="1"/>
    <col min="9" max="9" width="29.2727272727273" style="3" customWidth="1"/>
    <col min="10" max="10" width="15.4545454545455" style="3" customWidth="1"/>
    <col min="11" max="16384" width="9.81818181818182" style="3"/>
  </cols>
  <sheetData>
    <row r="1" s="3" customFormat="1" ht="14.5" spans="1:10">
      <c r="A1" s="67" t="s">
        <v>3</v>
      </c>
      <c r="B1" s="68" t="s">
        <v>4</v>
      </c>
      <c r="C1" s="69" t="s">
        <v>5</v>
      </c>
      <c r="D1" s="70" t="s">
        <v>6</v>
      </c>
      <c r="E1" s="70"/>
      <c r="F1" s="70" t="s">
        <v>7</v>
      </c>
      <c r="G1" s="70" t="s">
        <v>8</v>
      </c>
      <c r="I1" s="5" t="s">
        <v>9</v>
      </c>
    </row>
    <row r="2" s="3" customFormat="1" spans="1:10">
      <c r="A2" s="6" t="s">
        <v>14</v>
      </c>
      <c r="B2" s="64">
        <v>0.9328</v>
      </c>
      <c r="C2" s="71">
        <f>IF(B2="不开标",0,ROUND(100-100*IF(B2&gt;=J$17,J$4,J$5)*ABS(B2-J$17)/J$17,4))</f>
        <v>99.9448</v>
      </c>
      <c r="D2" s="66">
        <f>IF(B2="不开标","",_xlfn.RANK.EQ(C2,C:C,0))</f>
        <v>1</v>
      </c>
      <c r="E2" s="66"/>
      <c r="F2" s="3" t="b">
        <f>IF(B2="不开标",FALSE,IF($J$12&lt;=5,TRUE,IF($J$12&lt;=10,IF(OR(B2=MAX($B:$B),B2=MIN($B:$B)),FALSE,TRUE),IF($J$12&lt;=20,IF(OR(B2=LARGE($B:$B,1),B2=LARGE($B:$B,2),B2=MIN($B:$B)),FALSE,TRUE),IF($J$12&lt;=30,IF(OR(B2=LARGE($B:$B,1),B2=LARGE($B:$B,2),B2=LARGE($B:$B,3),B2=SMALL($B:$B,1),B2=SMALL($B:$B,2)),FALSE,TRUE),IF(OR(B2=LARGE($B:$B,1),B2=LARGE($B:$B,2),B2=LARGE($B:$B,3),B2=LARGE($B:$B,4),B2=SMALL($B:$B,1),B2=SMALL($B:$B,2),B2=SMALL($B:$B,3)),FALSE,TRUE))))))</f>
        <v>1</v>
      </c>
      <c r="G2" s="3" t="b">
        <f>IF(F2=FALSE,FALSE,IF(AND(B2&lt;J$14,B2&gt;J$15),FALSE,TRUE))</f>
        <v>1</v>
      </c>
      <c r="I2" s="11" t="s">
        <v>100</v>
      </c>
      <c r="J2" s="40">
        <v>-0.15</v>
      </c>
    </row>
    <row r="3" s="3" customFormat="1" spans="1:10">
      <c r="A3" s="6" t="s">
        <v>16</v>
      </c>
      <c r="B3" s="64">
        <v>0.932</v>
      </c>
      <c r="C3" s="71">
        <f t="shared" ref="C3:C34" si="0">IF(B3="不开标",0,ROUND(100-100*IF(B3&gt;=J$17,J$4,J$5)*ABS(B3-J$17)/J$17,4))</f>
        <v>99.9019</v>
      </c>
      <c r="D3" s="66">
        <f t="shared" ref="D3:D34" si="1">IF(B3="不开标","",_xlfn.RANK.EQ(C3,C:C,0))</f>
        <v>2</v>
      </c>
      <c r="E3" s="66"/>
      <c r="F3" s="3" t="b">
        <f>IF(B3="不开标",FALSE,IF($J$12&lt;=5,TRUE,IF($J$12&lt;=10,IF(OR(B3=MAX($B:$B),B3=MIN($B:$B)),FALSE,TRUE),IF($J$12&lt;=20,IF(OR(B3=LARGE($B:$B,1),B3=LARGE($B:$B,2),B3=MIN($B:$B)),FALSE,TRUE),IF($J$12&lt;=30,IF(OR(B3=LARGE($B:$B,1),B3=LARGE($B:$B,2),B3=LARGE($B:$B,3),B3=SMALL($B:$B,1),B3=SMALL($B:$B,2)),FALSE,TRUE),IF(OR(B3=LARGE($B:$B,1),B3=LARGE($B:$B,2),B3=LARGE($B:$B,3),B3=LARGE($B:$B,4),B3=SMALL($B:$B,1),B3=SMALL($B:$B,2),B3=SMALL($B:$B,3)),FALSE,TRUE))))))</f>
        <v>1</v>
      </c>
      <c r="G3" s="3" t="b">
        <f>IF(F3=FALSE,FALSE,IF(AND(B3&lt;J$14,B3&gt;J$15),FALSE,TRUE))</f>
        <v>1</v>
      </c>
      <c r="I3" s="11" t="s">
        <v>101</v>
      </c>
      <c r="J3" s="40">
        <v>0.1</v>
      </c>
    </row>
    <row r="4" s="3" customFormat="1" spans="1:10">
      <c r="A4" s="6" t="s">
        <v>10</v>
      </c>
      <c r="B4" s="64">
        <v>0.9348</v>
      </c>
      <c r="C4" s="71">
        <f t="shared" si="0"/>
        <v>99.8963</v>
      </c>
      <c r="D4" s="66">
        <f t="shared" si="1"/>
        <v>3</v>
      </c>
      <c r="E4" s="66"/>
      <c r="F4" s="3" t="b">
        <f>IF(B4="不开标",FALSE,IF($J$12&lt;=5,TRUE,IF($J$12&lt;=10,IF(OR(B4=MAX($B:$B),B4=MIN($B:$B)),FALSE,TRUE),IF($J$12&lt;=20,IF(OR(B4=LARGE($B:$B,1),B4=LARGE($B:$B,2),B4=MIN($B:$B)),FALSE,TRUE),IF($J$12&lt;=30,IF(OR(B4=LARGE($B:$B,1),B4=LARGE($B:$B,2),B4=LARGE($B:$B,3),B4=SMALL($B:$B,1),B4=SMALL($B:$B,2)),FALSE,TRUE),IF(OR(B4=LARGE($B:$B,1),B4=LARGE($B:$B,2),B4=LARGE($B:$B,3),B4=LARGE($B:$B,4),B4=SMALL($B:$B,1),B4=SMALL($B:$B,2),B4=SMALL($B:$B,3)),FALSE,TRUE))))))</f>
        <v>1</v>
      </c>
      <c r="G4" s="3" t="b">
        <f>IF(F4=FALSE,FALSE,IF(AND(B4&lt;J$14,B4&gt;J$15),FALSE,TRUE))</f>
        <v>1</v>
      </c>
      <c r="I4" s="11" t="s">
        <v>15</v>
      </c>
      <c r="J4" s="72">
        <v>1</v>
      </c>
    </row>
    <row r="5" s="3" customFormat="1" spans="1:10">
      <c r="A5" s="6" t="s">
        <v>12</v>
      </c>
      <c r="B5" s="64">
        <v>0.935</v>
      </c>
      <c r="C5" s="71">
        <f t="shared" si="0"/>
        <v>99.8748</v>
      </c>
      <c r="D5" s="66">
        <f t="shared" si="1"/>
        <v>4</v>
      </c>
      <c r="E5" s="66"/>
      <c r="F5" s="3" t="b">
        <f>IF(B5="不开标",FALSE,IF($J$12&lt;=5,TRUE,IF($J$12&lt;=10,IF(OR(B5=MAX($B:$B),B5=MIN($B:$B)),FALSE,TRUE),IF($J$12&lt;=20,IF(OR(B5=LARGE($B:$B,1),B5=LARGE($B:$B,2),B5=MIN($B:$B)),FALSE,TRUE),IF($J$12&lt;=30,IF(OR(B5=LARGE($B:$B,1),B5=LARGE($B:$B,2),B5=LARGE($B:$B,3),B5=SMALL($B:$B,1),B5=SMALL($B:$B,2)),FALSE,TRUE),IF(OR(B5=LARGE($B:$B,1),B5=LARGE($B:$B,2),B5=LARGE($B:$B,3),B5=LARGE($B:$B,4),B5=SMALL($B:$B,1),B5=SMALL($B:$B,2),B5=SMALL($B:$B,3)),FALSE,TRUE))))))</f>
        <v>1</v>
      </c>
      <c r="G5" s="3" t="b">
        <f>IF(F5=FALSE,FALSE,IF(AND(B5&lt;J$14,B5&gt;J$15),FALSE,TRUE))</f>
        <v>1</v>
      </c>
      <c r="I5" s="11" t="s">
        <v>17</v>
      </c>
      <c r="J5" s="72">
        <v>0.5</v>
      </c>
    </row>
    <row r="6" s="3" customFormat="1" spans="1:10">
      <c r="A6" s="6" t="s">
        <v>18</v>
      </c>
      <c r="B6" s="64">
        <v>0.93</v>
      </c>
      <c r="C6" s="71">
        <f t="shared" si="0"/>
        <v>99.7949</v>
      </c>
      <c r="D6" s="66">
        <f t="shared" si="1"/>
        <v>5</v>
      </c>
      <c r="E6" s="66"/>
      <c r="F6" s="3" t="b">
        <f t="shared" ref="F3:F34" si="2">IF(B6="不开标",FALSE,IF($J$12&lt;=5,TRUE,IF($J$12&lt;=10,IF(OR(B6=MAX($B:$B),B6=MIN($B:$B)),FALSE,TRUE),IF($J$12&lt;=20,IF(OR(B6=LARGE($B:$B,1),B6=LARGE($B:$B,2),B6=MIN($B:$B)),FALSE,TRUE),IF($J$12&lt;=30,IF(OR(B6=LARGE($B:$B,1),B6=LARGE($B:$B,2),B6=LARGE($B:$B,3),B6=SMALL($B:$B,1),B6=SMALL($B:$B,2)),FALSE,TRUE),IF(OR(B6=LARGE($B:$B,1),B6=LARGE($B:$B,2),B6=LARGE($B:$B,3),B6=LARGE($B:$B,4),B6=SMALL($B:$B,1),B6=SMALL($B:$B,2),B6=SMALL($B:$B,3)),FALSE,TRUE))))))</f>
        <v>1</v>
      </c>
      <c r="G6" s="3" t="b">
        <f t="shared" ref="G3:G34" si="3">IF(F6=FALSE,FALSE,IF(AND(B6&lt;J$14,B6&gt;J$15),FALSE,TRUE))</f>
        <v>1</v>
      </c>
      <c r="I6" s="11" t="s">
        <v>19</v>
      </c>
      <c r="J6" s="73">
        <v>0.01</v>
      </c>
    </row>
    <row r="7" s="3" customFormat="1" spans="1:10">
      <c r="A7" s="6" t="s">
        <v>20</v>
      </c>
      <c r="B7" s="64">
        <v>0.93</v>
      </c>
      <c r="C7" s="71">
        <f t="shared" si="0"/>
        <v>99.7949</v>
      </c>
      <c r="D7" s="66">
        <f t="shared" si="1"/>
        <v>5</v>
      </c>
      <c r="E7" s="66"/>
      <c r="F7" s="3" t="b">
        <f t="shared" si="2"/>
        <v>1</v>
      </c>
      <c r="G7" s="3" t="b">
        <f t="shared" si="3"/>
        <v>1</v>
      </c>
      <c r="I7" s="11" t="s">
        <v>102</v>
      </c>
      <c r="J7" s="12">
        <v>300</v>
      </c>
    </row>
    <row r="8" s="3" customFormat="1" spans="1:10">
      <c r="A8" s="6" t="s">
        <v>22</v>
      </c>
      <c r="B8" s="64">
        <v>0.93</v>
      </c>
      <c r="C8" s="71">
        <f t="shared" si="0"/>
        <v>99.7949</v>
      </c>
      <c r="D8" s="66">
        <f t="shared" si="1"/>
        <v>5</v>
      </c>
      <c r="E8" s="66"/>
      <c r="F8" s="3" t="b">
        <f t="shared" si="2"/>
        <v>1</v>
      </c>
      <c r="G8" s="3" t="b">
        <f t="shared" si="3"/>
        <v>1</v>
      </c>
      <c r="I8" s="11" t="s">
        <v>23</v>
      </c>
      <c r="J8" s="13">
        <v>0.3</v>
      </c>
    </row>
    <row r="9" s="3" customFormat="1" spans="1:10">
      <c r="A9" s="6" t="s">
        <v>24</v>
      </c>
      <c r="B9" s="64">
        <v>0.93</v>
      </c>
      <c r="C9" s="71">
        <f t="shared" si="0"/>
        <v>99.7949</v>
      </c>
      <c r="D9" s="66">
        <f t="shared" si="1"/>
        <v>5</v>
      </c>
      <c r="E9" s="66"/>
      <c r="F9" s="3" t="b">
        <f t="shared" si="2"/>
        <v>1</v>
      </c>
      <c r="G9" s="3" t="b">
        <f t="shared" si="3"/>
        <v>1</v>
      </c>
    </row>
    <row r="10" s="3" customFormat="1" spans="1:10">
      <c r="A10" s="6" t="s">
        <v>25</v>
      </c>
      <c r="B10" s="64">
        <v>0.93</v>
      </c>
      <c r="C10" s="71">
        <f t="shared" si="0"/>
        <v>99.7949</v>
      </c>
      <c r="D10" s="66">
        <f t="shared" si="1"/>
        <v>5</v>
      </c>
      <c r="E10" s="66"/>
      <c r="F10" s="3" t="b">
        <f t="shared" si="2"/>
        <v>1</v>
      </c>
      <c r="G10" s="3" t="b">
        <f t="shared" si="3"/>
        <v>1</v>
      </c>
    </row>
    <row r="11" s="3" customFormat="1" spans="1:10">
      <c r="A11" s="6" t="s">
        <v>26</v>
      </c>
      <c r="B11" s="64">
        <v>0.93</v>
      </c>
      <c r="C11" s="71">
        <f t="shared" si="0"/>
        <v>99.7949</v>
      </c>
      <c r="D11" s="66">
        <f t="shared" si="1"/>
        <v>5</v>
      </c>
      <c r="E11" s="66"/>
      <c r="F11" s="3" t="b">
        <f t="shared" si="2"/>
        <v>1</v>
      </c>
      <c r="G11" s="3" t="b">
        <f t="shared" si="3"/>
        <v>1</v>
      </c>
      <c r="I11" s="5" t="s">
        <v>27</v>
      </c>
    </row>
    <row r="12" s="3" customFormat="1" spans="1:10">
      <c r="A12" s="6" t="s">
        <v>28</v>
      </c>
      <c r="B12" s="64">
        <v>0.93</v>
      </c>
      <c r="C12" s="71">
        <f t="shared" si="0"/>
        <v>99.7949</v>
      </c>
      <c r="D12" s="66">
        <f t="shared" si="1"/>
        <v>5</v>
      </c>
      <c r="E12" s="66"/>
      <c r="F12" s="3" t="b">
        <f t="shared" si="2"/>
        <v>1</v>
      </c>
      <c r="G12" s="3" t="b">
        <f t="shared" si="3"/>
        <v>1</v>
      </c>
      <c r="I12" s="11" t="s">
        <v>103</v>
      </c>
      <c r="J12" s="74">
        <f>COUNTA(B:B)-1</f>
        <v>69</v>
      </c>
    </row>
    <row r="13" s="3" customFormat="1" spans="1:10">
      <c r="A13" s="6" t="s">
        <v>30</v>
      </c>
      <c r="B13" s="64">
        <v>0.93</v>
      </c>
      <c r="C13" s="71">
        <f t="shared" si="0"/>
        <v>99.7949</v>
      </c>
      <c r="D13" s="66">
        <f t="shared" si="1"/>
        <v>5</v>
      </c>
      <c r="E13" s="66"/>
      <c r="F13" s="3" t="b">
        <f t="shared" si="2"/>
        <v>1</v>
      </c>
      <c r="G13" s="3" t="b">
        <f t="shared" si="3"/>
        <v>1</v>
      </c>
      <c r="I13" s="11" t="s">
        <v>31</v>
      </c>
      <c r="J13" s="75">
        <f>AVERAGEIF(F:F,TRUE,B:B)</f>
        <v>0.94326393442623</v>
      </c>
    </row>
    <row r="14" s="3" customFormat="1" spans="1:10">
      <c r="A14" s="6" t="s">
        <v>32</v>
      </c>
      <c r="B14" s="64">
        <v>0.937</v>
      </c>
      <c r="C14" s="71">
        <f t="shared" si="0"/>
        <v>99.6607</v>
      </c>
      <c r="D14" s="66">
        <f t="shared" si="1"/>
        <v>13</v>
      </c>
      <c r="E14" s="66"/>
      <c r="F14" s="3" t="b">
        <f t="shared" si="2"/>
        <v>1</v>
      </c>
      <c r="G14" s="3" t="b">
        <f t="shared" si="3"/>
        <v>1</v>
      </c>
      <c r="I14" s="11" t="s">
        <v>33</v>
      </c>
      <c r="J14" s="76">
        <f>J$13*(1+J2)</f>
        <v>0.801774344262295</v>
      </c>
    </row>
    <row r="15" s="3" customFormat="1" spans="1:10">
      <c r="A15" s="6" t="s">
        <v>42</v>
      </c>
      <c r="B15" s="64">
        <v>0.927</v>
      </c>
      <c r="C15" s="71">
        <f t="shared" si="0"/>
        <v>99.6342</v>
      </c>
      <c r="D15" s="66">
        <f t="shared" si="1"/>
        <v>14</v>
      </c>
      <c r="E15" s="66"/>
      <c r="F15" s="3" t="b">
        <f t="shared" si="2"/>
        <v>1</v>
      </c>
      <c r="G15" s="3" t="b">
        <f t="shared" si="3"/>
        <v>1</v>
      </c>
      <c r="I15" s="11" t="s">
        <v>35</v>
      </c>
      <c r="J15" s="76">
        <f>J$13*(1+J3)</f>
        <v>1.03759032786885</v>
      </c>
    </row>
    <row r="16" s="3" customFormat="1" spans="1:10">
      <c r="A16" s="6" t="s">
        <v>43</v>
      </c>
      <c r="B16" s="64">
        <v>0.926</v>
      </c>
      <c r="C16" s="71">
        <f t="shared" si="0"/>
        <v>99.5807</v>
      </c>
      <c r="D16" s="66">
        <f t="shared" si="1"/>
        <v>15</v>
      </c>
      <c r="E16" s="66"/>
      <c r="F16" s="3" t="b">
        <f t="shared" si="2"/>
        <v>1</v>
      </c>
      <c r="G16" s="3" t="b">
        <f t="shared" si="3"/>
        <v>1</v>
      </c>
      <c r="I16" s="11" t="s">
        <v>37</v>
      </c>
      <c r="J16" s="75">
        <f>AVERAGEIF(G:G,TRUE,B:B)</f>
        <v>0.94326393442623</v>
      </c>
    </row>
    <row r="17" s="3" customFormat="1" spans="1:10">
      <c r="A17" s="6" t="s">
        <v>34</v>
      </c>
      <c r="B17" s="64">
        <v>0.938</v>
      </c>
      <c r="C17" s="71">
        <f t="shared" si="0"/>
        <v>99.5536</v>
      </c>
      <c r="D17" s="66">
        <f t="shared" si="1"/>
        <v>16</v>
      </c>
      <c r="E17" s="66"/>
      <c r="F17" s="3" t="b">
        <f t="shared" si="2"/>
        <v>1</v>
      </c>
      <c r="G17" s="3" t="b">
        <f t="shared" si="3"/>
        <v>1</v>
      </c>
      <c r="I17" s="17" t="s">
        <v>41</v>
      </c>
      <c r="J17" s="77">
        <f>J16*(1-J6)</f>
        <v>0.933831295081968</v>
      </c>
    </row>
    <row r="18" s="3" customFormat="1" spans="1:10">
      <c r="A18" s="6" t="s">
        <v>36</v>
      </c>
      <c r="B18" s="64">
        <v>0.938</v>
      </c>
      <c r="C18" s="71">
        <f t="shared" si="0"/>
        <v>99.5536</v>
      </c>
      <c r="D18" s="66">
        <f t="shared" si="1"/>
        <v>16</v>
      </c>
      <c r="E18" s="66"/>
      <c r="F18" s="3" t="b">
        <f t="shared" si="2"/>
        <v>1</v>
      </c>
      <c r="G18" s="3" t="b">
        <f t="shared" si="3"/>
        <v>1</v>
      </c>
      <c r="J18" s="78"/>
    </row>
    <row r="19" s="3" customFormat="1" spans="1:10">
      <c r="A19" s="6" t="s">
        <v>38</v>
      </c>
      <c r="B19" s="64">
        <v>0.938</v>
      </c>
      <c r="C19" s="71">
        <f t="shared" si="0"/>
        <v>99.5536</v>
      </c>
      <c r="D19" s="66">
        <f t="shared" si="1"/>
        <v>16</v>
      </c>
      <c r="E19" s="66"/>
      <c r="F19" s="3" t="b">
        <f t="shared" si="2"/>
        <v>1</v>
      </c>
      <c r="G19" s="3" t="b">
        <f t="shared" si="3"/>
        <v>1</v>
      </c>
      <c r="I19" s="5" t="s">
        <v>44</v>
      </c>
    </row>
    <row r="20" s="3" customFormat="1" spans="1:10">
      <c r="A20" s="6" t="s">
        <v>40</v>
      </c>
      <c r="B20" s="64">
        <v>0.938</v>
      </c>
      <c r="C20" s="71">
        <f t="shared" si="0"/>
        <v>99.5536</v>
      </c>
      <c r="D20" s="66">
        <f t="shared" si="1"/>
        <v>16</v>
      </c>
      <c r="E20" s="66"/>
      <c r="F20" s="3" t="b">
        <f t="shared" si="2"/>
        <v>1</v>
      </c>
      <c r="G20" s="3" t="b">
        <f t="shared" si="3"/>
        <v>1</v>
      </c>
      <c r="I20" s="19" t="s">
        <v>46</v>
      </c>
      <c r="J20" s="20"/>
    </row>
    <row r="21" s="3" customFormat="1" spans="1:10">
      <c r="A21" s="6" t="s">
        <v>45</v>
      </c>
      <c r="B21" s="64">
        <v>0.9388</v>
      </c>
      <c r="C21" s="71">
        <f t="shared" si="0"/>
        <v>99.4679</v>
      </c>
      <c r="D21" s="66">
        <f t="shared" si="1"/>
        <v>20</v>
      </c>
      <c r="E21" s="66"/>
      <c r="F21" s="3" t="b">
        <f t="shared" si="2"/>
        <v>1</v>
      </c>
      <c r="G21" s="3" t="b">
        <f t="shared" si="3"/>
        <v>1</v>
      </c>
      <c r="I21" s="11" t="s">
        <v>48</v>
      </c>
      <c r="J21" s="11" t="str">
        <f>IFERROR(VLOOKUP(I$20,A:C,3,0),"")</f>
        <v/>
      </c>
    </row>
    <row r="22" s="3" customFormat="1" spans="1:10">
      <c r="A22" s="6" t="s">
        <v>47</v>
      </c>
      <c r="B22" s="64">
        <v>0.94</v>
      </c>
      <c r="C22" s="71">
        <f t="shared" si="0"/>
        <v>99.3394</v>
      </c>
      <c r="D22" s="66">
        <f t="shared" si="1"/>
        <v>21</v>
      </c>
      <c r="E22" s="66"/>
      <c r="F22" s="3" t="b">
        <f t="shared" si="2"/>
        <v>1</v>
      </c>
      <c r="G22" s="3" t="b">
        <f t="shared" si="3"/>
        <v>1</v>
      </c>
      <c r="I22" s="17" t="s">
        <v>50</v>
      </c>
      <c r="J22" s="17" t="str">
        <f>IFERROR(VLOOKUP(I$20,A:D,4,0),"")</f>
        <v/>
      </c>
    </row>
    <row r="23" s="3" customFormat="1" spans="1:10">
      <c r="A23" s="6" t="s">
        <v>49</v>
      </c>
      <c r="B23" s="64">
        <v>0.94</v>
      </c>
      <c r="C23" s="71">
        <f t="shared" si="0"/>
        <v>99.3394</v>
      </c>
      <c r="D23" s="66">
        <f t="shared" si="1"/>
        <v>21</v>
      </c>
      <c r="E23" s="66"/>
      <c r="F23" s="3" t="b">
        <f t="shared" si="2"/>
        <v>1</v>
      </c>
      <c r="G23" s="3" t="b">
        <f t="shared" si="3"/>
        <v>1</v>
      </c>
      <c r="I23" s="11" t="s">
        <v>52</v>
      </c>
      <c r="J23" s="22">
        <f t="array" ref="J23">MAX(C:C)</f>
        <v>99.9448</v>
      </c>
    </row>
    <row r="24" s="3" customFormat="1" spans="1:10">
      <c r="A24" s="6" t="s">
        <v>51</v>
      </c>
      <c r="B24" s="64">
        <v>0.94</v>
      </c>
      <c r="C24" s="71">
        <f t="shared" si="0"/>
        <v>99.3394</v>
      </c>
      <c r="D24" s="66">
        <f t="shared" si="1"/>
        <v>21</v>
      </c>
      <c r="E24" s="66"/>
      <c r="F24" s="3" t="b">
        <f t="shared" si="2"/>
        <v>1</v>
      </c>
      <c r="G24" s="3" t="b">
        <f t="shared" si="3"/>
        <v>1</v>
      </c>
      <c r="I24" s="11" t="s">
        <v>54</v>
      </c>
      <c r="J24" s="11" t="str">
        <f>IFERROR(J23-J21,"")</f>
        <v/>
      </c>
    </row>
    <row r="25" s="3" customFormat="1" spans="1:10">
      <c r="A25" s="6" t="s">
        <v>53</v>
      </c>
      <c r="B25" s="64">
        <v>0.94</v>
      </c>
      <c r="C25" s="71">
        <f t="shared" si="0"/>
        <v>99.3394</v>
      </c>
      <c r="D25" s="66">
        <f t="shared" si="1"/>
        <v>21</v>
      </c>
      <c r="E25" s="66"/>
      <c r="F25" s="3" t="b">
        <f t="shared" si="2"/>
        <v>1</v>
      </c>
      <c r="G25" s="3" t="b">
        <f t="shared" si="3"/>
        <v>1</v>
      </c>
      <c r="I25" s="17" t="s">
        <v>56</v>
      </c>
      <c r="J25" s="17" t="str">
        <f>IFERROR(J24*J8,"")</f>
        <v/>
      </c>
    </row>
    <row r="26" s="3" customFormat="1" spans="1:10">
      <c r="A26" s="6" t="s">
        <v>55</v>
      </c>
      <c r="B26" s="64">
        <v>0.94</v>
      </c>
      <c r="C26" s="71">
        <f t="shared" si="0"/>
        <v>99.3394</v>
      </c>
      <c r="D26" s="66">
        <f t="shared" si="1"/>
        <v>21</v>
      </c>
      <c r="E26" s="66"/>
      <c r="F26" s="3" t="b">
        <f t="shared" si="2"/>
        <v>1</v>
      </c>
      <c r="G26" s="3" t="b">
        <f t="shared" si="3"/>
        <v>1</v>
      </c>
    </row>
    <row r="27" s="3" customFormat="1" spans="1:10">
      <c r="A27" s="6" t="s">
        <v>57</v>
      </c>
      <c r="B27" s="64">
        <v>0.94</v>
      </c>
      <c r="C27" s="71">
        <f t="shared" si="0"/>
        <v>99.3394</v>
      </c>
      <c r="D27" s="66">
        <f t="shared" si="1"/>
        <v>21</v>
      </c>
      <c r="E27" s="66"/>
      <c r="F27" s="3" t="b">
        <f t="shared" si="2"/>
        <v>1</v>
      </c>
      <c r="G27" s="3" t="b">
        <f t="shared" si="3"/>
        <v>1</v>
      </c>
    </row>
    <row r="28" s="3" customFormat="1" spans="1:10">
      <c r="A28" s="6" t="s">
        <v>58</v>
      </c>
      <c r="B28" s="64">
        <v>0.9208</v>
      </c>
      <c r="C28" s="71">
        <f t="shared" si="0"/>
        <v>99.3023</v>
      </c>
      <c r="D28" s="66">
        <f t="shared" si="1"/>
        <v>27</v>
      </c>
      <c r="E28" s="66"/>
      <c r="F28" s="3" t="b">
        <f t="shared" si="2"/>
        <v>1</v>
      </c>
      <c r="G28" s="3" t="b">
        <f t="shared" si="3"/>
        <v>1</v>
      </c>
    </row>
    <row r="29" s="3" customFormat="1" spans="1:10">
      <c r="A29" s="6" t="s">
        <v>59</v>
      </c>
      <c r="B29" s="64">
        <v>0.92</v>
      </c>
      <c r="C29" s="71">
        <f t="shared" si="0"/>
        <v>99.2594</v>
      </c>
      <c r="D29" s="66">
        <f t="shared" si="1"/>
        <v>28</v>
      </c>
      <c r="E29" s="66"/>
      <c r="F29" s="3" t="b">
        <f t="shared" si="2"/>
        <v>1</v>
      </c>
      <c r="G29" s="3" t="b">
        <f t="shared" si="3"/>
        <v>1</v>
      </c>
    </row>
    <row r="30" s="3" customFormat="1" spans="1:10">
      <c r="A30" s="6" t="s">
        <v>60</v>
      </c>
      <c r="B30" s="64">
        <v>0.92</v>
      </c>
      <c r="C30" s="71">
        <f t="shared" si="0"/>
        <v>99.2594</v>
      </c>
      <c r="D30" s="66">
        <f t="shared" si="1"/>
        <v>28</v>
      </c>
      <c r="E30" s="66"/>
      <c r="F30" s="3" t="b">
        <f t="shared" si="2"/>
        <v>1</v>
      </c>
      <c r="G30" s="3" t="b">
        <f t="shared" si="3"/>
        <v>1</v>
      </c>
    </row>
    <row r="31" s="3" customFormat="1" spans="1:10">
      <c r="A31" s="6" t="s">
        <v>61</v>
      </c>
      <c r="B31" s="64">
        <v>0.918</v>
      </c>
      <c r="C31" s="71">
        <f t="shared" si="0"/>
        <v>99.1523</v>
      </c>
      <c r="D31" s="66">
        <f t="shared" si="1"/>
        <v>30</v>
      </c>
      <c r="E31" s="66"/>
      <c r="F31" s="3" t="b">
        <f t="shared" si="2"/>
        <v>1</v>
      </c>
      <c r="G31" s="3" t="b">
        <f t="shared" si="3"/>
        <v>1</v>
      </c>
    </row>
    <row r="32" s="3" customFormat="1" spans="1:10">
      <c r="A32" s="6" t="s">
        <v>63</v>
      </c>
      <c r="B32" s="64">
        <v>0.9165</v>
      </c>
      <c r="C32" s="71">
        <f t="shared" si="0"/>
        <v>99.072</v>
      </c>
      <c r="D32" s="66">
        <f t="shared" si="1"/>
        <v>31</v>
      </c>
      <c r="E32" s="66"/>
      <c r="F32" s="3" t="b">
        <f t="shared" si="2"/>
        <v>1</v>
      </c>
      <c r="G32" s="3" t="b">
        <f t="shared" si="3"/>
        <v>1</v>
      </c>
    </row>
    <row r="33" s="3" customFormat="1" spans="1:7">
      <c r="A33" s="6" t="s">
        <v>62</v>
      </c>
      <c r="B33" s="64">
        <v>0.943</v>
      </c>
      <c r="C33" s="71">
        <f t="shared" si="0"/>
        <v>99.0182</v>
      </c>
      <c r="D33" s="66">
        <f t="shared" si="1"/>
        <v>32</v>
      </c>
      <c r="E33" s="66"/>
      <c r="F33" s="3" t="b">
        <f t="shared" si="2"/>
        <v>1</v>
      </c>
      <c r="G33" s="3" t="b">
        <f t="shared" si="3"/>
        <v>1</v>
      </c>
    </row>
    <row r="34" s="3" customFormat="1" spans="1:7">
      <c r="A34" s="6" t="s">
        <v>64</v>
      </c>
      <c r="B34" s="64">
        <v>0.9433</v>
      </c>
      <c r="C34" s="71">
        <f t="shared" si="0"/>
        <v>98.986</v>
      </c>
      <c r="D34" s="66">
        <f t="shared" si="1"/>
        <v>33</v>
      </c>
      <c r="E34" s="66"/>
      <c r="F34" s="3" t="b">
        <f t="shared" si="2"/>
        <v>1</v>
      </c>
      <c r="G34" s="3" t="b">
        <f t="shared" si="3"/>
        <v>1</v>
      </c>
    </row>
    <row r="35" s="3" customFormat="1" spans="1:7">
      <c r="A35" s="6" t="s">
        <v>65</v>
      </c>
      <c r="B35" s="64">
        <v>0.9437</v>
      </c>
      <c r="C35" s="71">
        <f t="shared" ref="C35:C70" si="4">IF(B35="不开标",0,ROUND(100-100*IF(B35&gt;=J$17,J$4,J$5)*ABS(B35-J$17)/J$17,4))</f>
        <v>98.9432</v>
      </c>
      <c r="D35" s="66">
        <f t="shared" ref="D35:D70" si="5">IF(B35="不开标","",_xlfn.RANK.EQ(C35,C:C,0))</f>
        <v>34</v>
      </c>
      <c r="E35" s="66"/>
      <c r="F35" s="3" t="b">
        <f t="shared" ref="F35:F70" si="6">IF(B35="不开标",FALSE,IF($J$12&lt;=5,TRUE,IF($J$12&lt;=10,IF(OR(B35=MAX($B:$B),B35=MIN($B:$B)),FALSE,TRUE),IF($J$12&lt;=20,IF(OR(B35=LARGE($B:$B,1),B35=LARGE($B:$B,2),B35=MIN($B:$B)),FALSE,TRUE),IF($J$12&lt;=30,IF(OR(B35=LARGE($B:$B,1),B35=LARGE($B:$B,2),B35=LARGE($B:$B,3),B35=SMALL($B:$B,1),B35=SMALL($B:$B,2)),FALSE,TRUE),IF(OR(B35=LARGE($B:$B,1),B35=LARGE($B:$B,2),B35=LARGE($B:$B,3),B35=LARGE($B:$B,4),B35=SMALL($B:$B,1),B35=SMALL($B:$B,2),B35=SMALL($B:$B,3)),FALSE,TRUE))))))</f>
        <v>1</v>
      </c>
      <c r="G35" s="3" t="b">
        <f t="shared" ref="G35:G70" si="7">IF(F35=FALSE,FALSE,IF(AND(B35&lt;J$14,B35&gt;J$15),FALSE,TRUE))</f>
        <v>1</v>
      </c>
    </row>
    <row r="36" s="3" customFormat="1" spans="1:7">
      <c r="A36" s="6" t="s">
        <v>70</v>
      </c>
      <c r="B36" s="64">
        <v>0.9123</v>
      </c>
      <c r="C36" s="71">
        <f t="shared" si="4"/>
        <v>98.8472</v>
      </c>
      <c r="D36" s="66">
        <f t="shared" si="5"/>
        <v>35</v>
      </c>
      <c r="E36" s="66"/>
      <c r="F36" s="3" t="b">
        <f t="shared" si="6"/>
        <v>1</v>
      </c>
      <c r="G36" s="3" t="b">
        <f t="shared" si="7"/>
        <v>1</v>
      </c>
    </row>
    <row r="37" s="3" customFormat="1" spans="1:7">
      <c r="A37" s="6" t="s">
        <v>66</v>
      </c>
      <c r="B37" s="64">
        <v>0.945</v>
      </c>
      <c r="C37" s="71">
        <f t="shared" si="4"/>
        <v>98.804</v>
      </c>
      <c r="D37" s="66">
        <f t="shared" si="5"/>
        <v>36</v>
      </c>
      <c r="E37" s="66"/>
      <c r="F37" s="3" t="b">
        <f t="shared" si="6"/>
        <v>1</v>
      </c>
      <c r="G37" s="3" t="b">
        <f t="shared" si="7"/>
        <v>1</v>
      </c>
    </row>
    <row r="38" s="3" customFormat="1" spans="1:7">
      <c r="A38" s="6" t="s">
        <v>67</v>
      </c>
      <c r="B38" s="64">
        <v>0.945</v>
      </c>
      <c r="C38" s="71">
        <f t="shared" si="4"/>
        <v>98.804</v>
      </c>
      <c r="D38" s="66">
        <f t="shared" si="5"/>
        <v>36</v>
      </c>
      <c r="E38" s="66"/>
      <c r="F38" s="3" t="b">
        <f t="shared" si="6"/>
        <v>1</v>
      </c>
      <c r="G38" s="3" t="b">
        <f t="shared" si="7"/>
        <v>1</v>
      </c>
    </row>
    <row r="39" s="3" customFormat="1" spans="1:7">
      <c r="A39" s="6" t="s">
        <v>68</v>
      </c>
      <c r="B39" s="64">
        <v>0.945</v>
      </c>
      <c r="C39" s="71">
        <f t="shared" si="4"/>
        <v>98.804</v>
      </c>
      <c r="D39" s="66">
        <f t="shared" si="5"/>
        <v>36</v>
      </c>
      <c r="E39" s="66"/>
      <c r="F39" s="3" t="b">
        <f t="shared" si="6"/>
        <v>1</v>
      </c>
      <c r="G39" s="3" t="b">
        <f t="shared" si="7"/>
        <v>1</v>
      </c>
    </row>
    <row r="40" s="3" customFormat="1" spans="1:7">
      <c r="A40" s="6" t="s">
        <v>69</v>
      </c>
      <c r="B40" s="64">
        <v>0.945</v>
      </c>
      <c r="C40" s="71">
        <f t="shared" si="4"/>
        <v>98.804</v>
      </c>
      <c r="D40" s="66">
        <f t="shared" si="5"/>
        <v>36</v>
      </c>
      <c r="E40" s="66"/>
      <c r="F40" s="3" t="b">
        <f t="shared" si="6"/>
        <v>1</v>
      </c>
      <c r="G40" s="3" t="b">
        <f t="shared" si="7"/>
        <v>1</v>
      </c>
    </row>
    <row r="41" s="3" customFormat="1" spans="1:7">
      <c r="A41" s="6" t="s">
        <v>71</v>
      </c>
      <c r="B41" s="64">
        <v>0.91</v>
      </c>
      <c r="C41" s="71">
        <f t="shared" si="4"/>
        <v>98.724</v>
      </c>
      <c r="D41" s="66">
        <f t="shared" si="5"/>
        <v>40</v>
      </c>
      <c r="E41" s="66"/>
      <c r="F41" s="3" t="b">
        <f t="shared" si="6"/>
        <v>0</v>
      </c>
      <c r="G41" s="3" t="b">
        <f t="shared" si="7"/>
        <v>0</v>
      </c>
    </row>
    <row r="42" s="3" customFormat="1" spans="1:7">
      <c r="A42" s="6" t="s">
        <v>72</v>
      </c>
      <c r="B42" s="64">
        <v>0.9467</v>
      </c>
      <c r="C42" s="71">
        <f t="shared" si="4"/>
        <v>98.6219</v>
      </c>
      <c r="D42" s="66">
        <f t="shared" si="5"/>
        <v>41</v>
      </c>
      <c r="E42" s="66"/>
      <c r="F42" s="3" t="b">
        <f t="shared" si="6"/>
        <v>1</v>
      </c>
      <c r="G42" s="3" t="b">
        <f t="shared" si="7"/>
        <v>1</v>
      </c>
    </row>
    <row r="43" s="3" customFormat="1" spans="1:7">
      <c r="A43" s="6" t="s">
        <v>73</v>
      </c>
      <c r="B43" s="64">
        <v>0.948</v>
      </c>
      <c r="C43" s="71">
        <f t="shared" si="4"/>
        <v>98.4827</v>
      </c>
      <c r="D43" s="66">
        <f t="shared" si="5"/>
        <v>42</v>
      </c>
      <c r="E43" s="66"/>
      <c r="F43" s="3" t="b">
        <f t="shared" si="6"/>
        <v>1</v>
      </c>
      <c r="G43" s="3" t="b">
        <f t="shared" si="7"/>
        <v>1</v>
      </c>
    </row>
    <row r="44" s="3" customFormat="1" spans="1:7">
      <c r="A44" s="6" t="s">
        <v>74</v>
      </c>
      <c r="B44" s="64">
        <v>0.95</v>
      </c>
      <c r="C44" s="71">
        <f t="shared" si="4"/>
        <v>98.2686</v>
      </c>
      <c r="D44" s="66">
        <f t="shared" si="5"/>
        <v>43</v>
      </c>
      <c r="E44" s="66"/>
      <c r="F44" s="3" t="b">
        <f t="shared" si="6"/>
        <v>1</v>
      </c>
      <c r="G44" s="3" t="b">
        <f t="shared" si="7"/>
        <v>1</v>
      </c>
    </row>
    <row r="45" s="3" customFormat="1" spans="1:7">
      <c r="A45" s="6" t="s">
        <v>75</v>
      </c>
      <c r="B45" s="64">
        <v>0.95</v>
      </c>
      <c r="C45" s="71">
        <f t="shared" si="4"/>
        <v>98.2686</v>
      </c>
      <c r="D45" s="66">
        <f t="shared" si="5"/>
        <v>43</v>
      </c>
      <c r="E45" s="66"/>
      <c r="F45" s="3" t="b">
        <f t="shared" si="6"/>
        <v>1</v>
      </c>
      <c r="G45" s="3" t="b">
        <f t="shared" si="7"/>
        <v>1</v>
      </c>
    </row>
    <row r="46" s="3" customFormat="1" spans="1:7">
      <c r="A46" s="6" t="s">
        <v>76</v>
      </c>
      <c r="B46" s="64">
        <v>0.95</v>
      </c>
      <c r="C46" s="71">
        <f t="shared" si="4"/>
        <v>98.2686</v>
      </c>
      <c r="D46" s="66">
        <f t="shared" si="5"/>
        <v>43</v>
      </c>
      <c r="E46" s="66"/>
      <c r="F46" s="3" t="b">
        <f t="shared" si="6"/>
        <v>1</v>
      </c>
      <c r="G46" s="3" t="b">
        <f t="shared" si="7"/>
        <v>1</v>
      </c>
    </row>
    <row r="47" s="3" customFormat="1" spans="1:7">
      <c r="A47" s="6" t="s">
        <v>77</v>
      </c>
      <c r="B47" s="64">
        <v>0.9528</v>
      </c>
      <c r="C47" s="71">
        <f t="shared" si="4"/>
        <v>97.9687</v>
      </c>
      <c r="D47" s="66">
        <f t="shared" si="5"/>
        <v>46</v>
      </c>
      <c r="E47" s="66"/>
      <c r="F47" s="3" t="b">
        <f t="shared" si="6"/>
        <v>1</v>
      </c>
      <c r="G47" s="3" t="b">
        <f t="shared" si="7"/>
        <v>1</v>
      </c>
    </row>
    <row r="48" s="3" customFormat="1" spans="1:7">
      <c r="A48" s="6" t="s">
        <v>78</v>
      </c>
      <c r="B48" s="64">
        <v>0.895</v>
      </c>
      <c r="C48" s="71">
        <f t="shared" si="4"/>
        <v>97.9209</v>
      </c>
      <c r="D48" s="66">
        <f t="shared" si="5"/>
        <v>47</v>
      </c>
      <c r="E48" s="66"/>
      <c r="F48" s="3" t="b">
        <f t="shared" si="6"/>
        <v>0</v>
      </c>
      <c r="G48" s="3" t="b">
        <f t="shared" si="7"/>
        <v>0</v>
      </c>
    </row>
    <row r="49" s="3" customFormat="1" spans="1:7">
      <c r="A49" s="6" t="s">
        <v>79</v>
      </c>
      <c r="B49" s="64">
        <v>0.955</v>
      </c>
      <c r="C49" s="71">
        <f t="shared" si="4"/>
        <v>97.7331</v>
      </c>
      <c r="D49" s="66">
        <f t="shared" si="5"/>
        <v>48</v>
      </c>
      <c r="E49" s="66"/>
      <c r="F49" s="3" t="b">
        <f t="shared" si="6"/>
        <v>1</v>
      </c>
      <c r="G49" s="3" t="b">
        <f t="shared" si="7"/>
        <v>1</v>
      </c>
    </row>
    <row r="50" s="3" customFormat="1" spans="1:7">
      <c r="A50" s="6" t="s">
        <v>80</v>
      </c>
      <c r="B50" s="64">
        <v>0.955</v>
      </c>
      <c r="C50" s="71">
        <f t="shared" si="4"/>
        <v>97.7331</v>
      </c>
      <c r="D50" s="66">
        <f t="shared" si="5"/>
        <v>48</v>
      </c>
      <c r="E50" s="66"/>
      <c r="F50" s="3" t="b">
        <f t="shared" si="6"/>
        <v>1</v>
      </c>
      <c r="G50" s="3" t="b">
        <f t="shared" si="7"/>
        <v>1</v>
      </c>
    </row>
    <row r="51" s="3" customFormat="1" spans="1:7">
      <c r="A51" s="6" t="s">
        <v>82</v>
      </c>
      <c r="B51" s="64">
        <v>0.89</v>
      </c>
      <c r="C51" s="71">
        <f t="shared" si="4"/>
        <v>97.6531</v>
      </c>
      <c r="D51" s="66">
        <f t="shared" si="5"/>
        <v>50</v>
      </c>
      <c r="E51" s="66"/>
      <c r="F51" s="3" t="b">
        <f t="shared" si="6"/>
        <v>0</v>
      </c>
      <c r="G51" s="3" t="b">
        <f t="shared" si="7"/>
        <v>0</v>
      </c>
    </row>
    <row r="52" s="3" customFormat="1" spans="1:7">
      <c r="A52" s="6" t="s">
        <v>81</v>
      </c>
      <c r="B52" s="64">
        <v>0.9558</v>
      </c>
      <c r="C52" s="71">
        <f t="shared" si="4"/>
        <v>97.6475</v>
      </c>
      <c r="D52" s="66">
        <f t="shared" si="5"/>
        <v>51</v>
      </c>
      <c r="E52" s="66"/>
      <c r="F52" s="3" t="b">
        <f t="shared" si="6"/>
        <v>1</v>
      </c>
      <c r="G52" s="3" t="b">
        <f t="shared" si="7"/>
        <v>1</v>
      </c>
    </row>
    <row r="53" s="3" customFormat="1" spans="1:7">
      <c r="A53" s="6" t="s">
        <v>83</v>
      </c>
      <c r="B53" s="64">
        <v>0.958</v>
      </c>
      <c r="C53" s="71">
        <f t="shared" si="4"/>
        <v>97.4119</v>
      </c>
      <c r="D53" s="66">
        <f t="shared" si="5"/>
        <v>52</v>
      </c>
      <c r="E53" s="66"/>
      <c r="F53" s="3" t="b">
        <f t="shared" si="6"/>
        <v>1</v>
      </c>
      <c r="G53" s="3" t="b">
        <f t="shared" si="7"/>
        <v>1</v>
      </c>
    </row>
    <row r="54" s="3" customFormat="1" spans="1:7">
      <c r="A54" s="6" t="s">
        <v>84</v>
      </c>
      <c r="B54" s="64">
        <v>0.96</v>
      </c>
      <c r="C54" s="71">
        <f t="shared" si="4"/>
        <v>97.1977</v>
      </c>
      <c r="D54" s="66">
        <f t="shared" si="5"/>
        <v>53</v>
      </c>
      <c r="E54" s="66"/>
      <c r="F54" s="3" t="b">
        <f t="shared" si="6"/>
        <v>1</v>
      </c>
      <c r="G54" s="3" t="b">
        <f t="shared" si="7"/>
        <v>1</v>
      </c>
    </row>
    <row r="55" s="3" customFormat="1" spans="1:7">
      <c r="A55" s="6" t="s">
        <v>85</v>
      </c>
      <c r="B55" s="64">
        <v>0.96</v>
      </c>
      <c r="C55" s="71">
        <f t="shared" si="4"/>
        <v>97.1977</v>
      </c>
      <c r="D55" s="66">
        <f t="shared" si="5"/>
        <v>53</v>
      </c>
      <c r="E55" s="66"/>
      <c r="F55" s="3" t="b">
        <f t="shared" si="6"/>
        <v>1</v>
      </c>
      <c r="G55" s="3" t="b">
        <f t="shared" si="7"/>
        <v>1</v>
      </c>
    </row>
    <row r="56" s="3" customFormat="1" spans="1:7">
      <c r="A56" s="6" t="s">
        <v>86</v>
      </c>
      <c r="B56" s="64">
        <v>0.96</v>
      </c>
      <c r="C56" s="71">
        <f t="shared" si="4"/>
        <v>97.1977</v>
      </c>
      <c r="D56" s="66">
        <f t="shared" si="5"/>
        <v>53</v>
      </c>
      <c r="E56" s="66"/>
      <c r="F56" s="3" t="b">
        <f t="shared" si="6"/>
        <v>1</v>
      </c>
      <c r="G56" s="3" t="b">
        <f t="shared" si="7"/>
        <v>1</v>
      </c>
    </row>
    <row r="57" s="3" customFormat="1" spans="1:7">
      <c r="A57" s="6" t="s">
        <v>87</v>
      </c>
      <c r="B57" s="64">
        <v>0.96</v>
      </c>
      <c r="C57" s="71">
        <f t="shared" si="4"/>
        <v>97.1977</v>
      </c>
      <c r="D57" s="66">
        <f t="shared" si="5"/>
        <v>53</v>
      </c>
      <c r="E57" s="66"/>
      <c r="F57" s="3" t="b">
        <f t="shared" si="6"/>
        <v>1</v>
      </c>
      <c r="G57" s="3" t="b">
        <f t="shared" si="7"/>
        <v>1</v>
      </c>
    </row>
    <row r="58" s="3" customFormat="1" spans="1:7">
      <c r="A58" s="6" t="s">
        <v>88</v>
      </c>
      <c r="B58" s="64">
        <v>0.96</v>
      </c>
      <c r="C58" s="71">
        <f t="shared" si="4"/>
        <v>97.1977</v>
      </c>
      <c r="D58" s="66">
        <f t="shared" si="5"/>
        <v>53</v>
      </c>
      <c r="E58" s="66"/>
      <c r="F58" s="3" t="b">
        <f t="shared" si="6"/>
        <v>1</v>
      </c>
      <c r="G58" s="3" t="b">
        <f t="shared" si="7"/>
        <v>1</v>
      </c>
    </row>
    <row r="59" s="3" customFormat="1" spans="1:7">
      <c r="A59" s="6" t="s">
        <v>89</v>
      </c>
      <c r="B59" s="64">
        <v>0.965</v>
      </c>
      <c r="C59" s="71">
        <f t="shared" si="4"/>
        <v>96.6623</v>
      </c>
      <c r="D59" s="66">
        <f t="shared" si="5"/>
        <v>58</v>
      </c>
      <c r="E59" s="66"/>
      <c r="F59" s="3" t="b">
        <f t="shared" si="6"/>
        <v>1</v>
      </c>
      <c r="G59" s="3" t="b">
        <f t="shared" si="7"/>
        <v>1</v>
      </c>
    </row>
    <row r="60" s="3" customFormat="1" spans="1:7">
      <c r="A60" s="6" t="s">
        <v>90</v>
      </c>
      <c r="B60" s="64">
        <v>0.97</v>
      </c>
      <c r="C60" s="71">
        <f t="shared" si="4"/>
        <v>96.1268</v>
      </c>
      <c r="D60" s="66">
        <f t="shared" si="5"/>
        <v>59</v>
      </c>
      <c r="E60" s="66"/>
      <c r="F60" s="3" t="b">
        <f t="shared" si="6"/>
        <v>1</v>
      </c>
      <c r="G60" s="3" t="b">
        <f t="shared" si="7"/>
        <v>1</v>
      </c>
    </row>
    <row r="61" s="3" customFormat="1" spans="1:7">
      <c r="A61" s="6" t="s">
        <v>91</v>
      </c>
      <c r="B61" s="64">
        <v>0.97</v>
      </c>
      <c r="C61" s="71">
        <f t="shared" si="4"/>
        <v>96.1268</v>
      </c>
      <c r="D61" s="66">
        <f t="shared" si="5"/>
        <v>59</v>
      </c>
      <c r="E61" s="66"/>
      <c r="F61" s="3" t="b">
        <f t="shared" si="6"/>
        <v>1</v>
      </c>
      <c r="G61" s="3" t="b">
        <f t="shared" si="7"/>
        <v>1</v>
      </c>
    </row>
    <row r="62" s="3" customFormat="1" spans="1:7">
      <c r="A62" s="6" t="s">
        <v>92</v>
      </c>
      <c r="B62" s="64">
        <v>0.973</v>
      </c>
      <c r="C62" s="71">
        <f t="shared" si="4"/>
        <v>95.8056</v>
      </c>
      <c r="D62" s="66">
        <f t="shared" si="5"/>
        <v>61</v>
      </c>
      <c r="E62" s="66"/>
      <c r="F62" s="3" t="b">
        <f t="shared" si="6"/>
        <v>1</v>
      </c>
      <c r="G62" s="3" t="b">
        <f t="shared" si="7"/>
        <v>1</v>
      </c>
    </row>
    <row r="63" s="3" customFormat="1" spans="1:7">
      <c r="A63" s="6" t="s">
        <v>93</v>
      </c>
      <c r="B63" s="64">
        <v>0.975</v>
      </c>
      <c r="C63" s="71">
        <f t="shared" si="4"/>
        <v>95.5914</v>
      </c>
      <c r="D63" s="66">
        <f t="shared" si="5"/>
        <v>62</v>
      </c>
      <c r="E63" s="66"/>
      <c r="F63" s="3" t="b">
        <f t="shared" si="6"/>
        <v>1</v>
      </c>
      <c r="G63" s="3" t="b">
        <f t="shared" si="7"/>
        <v>1</v>
      </c>
    </row>
    <row r="64" s="3" customFormat="1" spans="1:7">
      <c r="A64" s="6" t="s">
        <v>95</v>
      </c>
      <c r="B64" s="64">
        <v>0.975</v>
      </c>
      <c r="C64" s="71">
        <f t="shared" si="4"/>
        <v>95.5914</v>
      </c>
      <c r="D64" s="66">
        <f t="shared" si="5"/>
        <v>62</v>
      </c>
      <c r="E64" s="66"/>
      <c r="F64" s="3" t="b">
        <f t="shared" si="6"/>
        <v>1</v>
      </c>
      <c r="G64" s="3" t="b">
        <f t="shared" si="7"/>
        <v>1</v>
      </c>
    </row>
    <row r="65" s="3" customFormat="1" spans="1:7">
      <c r="A65" s="6" t="s">
        <v>96</v>
      </c>
      <c r="B65" s="64">
        <v>0.9768</v>
      </c>
      <c r="C65" s="71">
        <f t="shared" si="4"/>
        <v>95.3987</v>
      </c>
      <c r="D65" s="66">
        <f t="shared" si="5"/>
        <v>64</v>
      </c>
      <c r="E65" s="66"/>
      <c r="F65" s="3" t="b">
        <f t="shared" si="6"/>
        <v>1</v>
      </c>
      <c r="G65" s="3" t="b">
        <f t="shared" si="7"/>
        <v>1</v>
      </c>
    </row>
    <row r="66" s="3" customFormat="1" spans="1:7">
      <c r="A66" s="6" t="s">
        <v>97</v>
      </c>
      <c r="B66" s="64">
        <v>0.98</v>
      </c>
      <c r="C66" s="71">
        <f t="shared" si="4"/>
        <v>95.056</v>
      </c>
      <c r="D66" s="66">
        <f t="shared" si="5"/>
        <v>65</v>
      </c>
      <c r="E66" s="66"/>
      <c r="F66" s="3" t="b">
        <f t="shared" si="6"/>
        <v>0</v>
      </c>
      <c r="G66" s="3" t="b">
        <f t="shared" si="7"/>
        <v>0</v>
      </c>
    </row>
    <row r="67" s="3" customFormat="1" spans="1:7">
      <c r="A67" s="6" t="s">
        <v>98</v>
      </c>
      <c r="B67" s="64">
        <v>0.985</v>
      </c>
      <c r="C67" s="71">
        <f t="shared" si="4"/>
        <v>94.5206</v>
      </c>
      <c r="D67" s="66">
        <f t="shared" si="5"/>
        <v>66</v>
      </c>
      <c r="E67" s="66"/>
      <c r="F67" s="3" t="b">
        <f t="shared" si="6"/>
        <v>0</v>
      </c>
      <c r="G67" s="3" t="b">
        <f t="shared" si="7"/>
        <v>0</v>
      </c>
    </row>
    <row r="68" spans="1:7">
      <c r="A68" s="6" t="s">
        <v>104</v>
      </c>
      <c r="B68" s="64">
        <v>0.985</v>
      </c>
      <c r="C68" s="71">
        <f t="shared" si="4"/>
        <v>94.5206</v>
      </c>
      <c r="D68" s="66">
        <f t="shared" si="5"/>
        <v>66</v>
      </c>
      <c r="F68" s="3" t="b">
        <f t="shared" si="6"/>
        <v>0</v>
      </c>
      <c r="G68" s="3" t="b">
        <f t="shared" si="7"/>
        <v>0</v>
      </c>
    </row>
    <row r="69" spans="1:7">
      <c r="A69" s="6" t="s">
        <v>105</v>
      </c>
      <c r="B69" s="64">
        <v>0.986</v>
      </c>
      <c r="C69" s="71">
        <f t="shared" si="4"/>
        <v>94.4135</v>
      </c>
      <c r="D69" s="66">
        <f t="shared" si="5"/>
        <v>68</v>
      </c>
      <c r="F69" s="3" t="b">
        <f t="shared" si="6"/>
        <v>0</v>
      </c>
      <c r="G69" s="3" t="b">
        <f t="shared" si="7"/>
        <v>0</v>
      </c>
    </row>
    <row r="70" spans="1:7">
      <c r="A70" s="6" t="s">
        <v>94</v>
      </c>
      <c r="B70" s="64" t="s">
        <v>99</v>
      </c>
      <c r="C70" s="71">
        <f t="shared" si="4"/>
        <v>0</v>
      </c>
      <c r="D70" s="66" t="str">
        <f t="shared" si="5"/>
        <v/>
      </c>
      <c r="F70" s="3" t="b">
        <f t="shared" si="6"/>
        <v>0</v>
      </c>
      <c r="G70" s="3" t="b">
        <f t="shared" si="7"/>
        <v>0</v>
      </c>
    </row>
  </sheetData>
  <autoFilter xmlns:etc="http://www.wps.cn/officeDocument/2017/etCustomData" ref="A1:G70" etc:filterBottomFollowUsedRange="0">
    <sortState ref="A1:G70">
      <sortCondition ref="D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zoomScale="85" zoomScaleNormal="85" workbookViewId="0">
      <pane ySplit="27" topLeftCell="A28" activePane="bottomLeft" state="frozen"/>
      <selection/>
      <selection pane="bottomLeft" activeCell="A1" sqref="A1:B1"/>
    </sheetView>
  </sheetViews>
  <sheetFormatPr defaultColWidth="9.81818181818182" defaultRowHeight="14"/>
  <cols>
    <col min="1" max="1" width="20.5454545454545" style="51" customWidth="1"/>
    <col min="2" max="2" width="14" style="52" customWidth="1"/>
    <col min="3" max="3" width="11.3" style="53" customWidth="1"/>
    <col min="4" max="4" width="10.5181818181818" style="54" customWidth="1"/>
    <col min="5" max="5" width="4.28181818181818" style="50" customWidth="1"/>
    <col min="6" max="6" width="11.8454545454545" style="50" customWidth="1"/>
    <col min="7" max="7" width="15.7363636363636" style="50" customWidth="1"/>
    <col min="8" max="8" width="9.81818181818182" style="50"/>
    <col min="9" max="9" width="35.3636363636364" style="50" customWidth="1"/>
    <col min="10" max="10" width="14" style="50" customWidth="1"/>
    <col min="11" max="16374" width="9.81818181818182" style="50"/>
    <col min="16375" max="16381" width="9.81818181818182" style="55"/>
    <col min="16382" max="16384" width="9.81818181818182" style="3"/>
  </cols>
  <sheetData>
    <row r="1" s="50" customFormat="1" ht="14.15" customHeight="1" spans="1:12">
      <c r="A1" s="24" t="s">
        <v>106</v>
      </c>
      <c r="B1" s="56" t="s">
        <v>107</v>
      </c>
      <c r="C1" s="57" t="s">
        <v>5</v>
      </c>
      <c r="D1" s="4" t="s">
        <v>6</v>
      </c>
      <c r="E1" s="4"/>
      <c r="F1" s="4" t="s">
        <v>108</v>
      </c>
      <c r="G1" s="4" t="s">
        <v>109</v>
      </c>
      <c r="H1" s="4"/>
      <c r="I1" s="5" t="s">
        <v>9</v>
      </c>
      <c r="J1" s="3"/>
      <c r="K1" s="4"/>
      <c r="L1" s="4"/>
    </row>
    <row r="2" s="50" customFormat="1" spans="1:12">
      <c r="A2" s="6" t="s">
        <v>10</v>
      </c>
      <c r="B2" s="58">
        <v>383.192</v>
      </c>
      <c r="C2" s="53">
        <f>IF(B2="不开标",0,ROUND(IF(B2,MAX(0,100-100*J$6*IF(B2&gt;=$J$18,J$4,J$5)*ABS(B2-$J$18)/$J$18),""),4))</f>
        <v>99.9629</v>
      </c>
      <c r="D2" s="54">
        <f>IF(B2="不开标","",_xlfn.RANK.EQ(C2,C:C,0))</f>
        <v>1</v>
      </c>
      <c r="F2" s="50" t="b">
        <f>IF(B2="不开标",FALSE,IF($J$12&lt;10,TRUE,IF(AND($J$12&gt;=10,$J$12&lt;=20),NOT(OR(RANK(B2,$B$2:$B$100,0)=1,RANK(B2,$B$2:$B$100,1)=1)),IF(AND($J$12&gt;=20,$J$12&lt;30),NOT(OR(RANK(B2,$B$2:$B$100,0)&lt;=2,RANK(B2,$B$2:$B$100,1)=1)),IF($J$12&gt;=30,NOT(OR(RANK(B2,$B$2:$B$100,0)&lt;=3,RANK(B2,$B$2:$B$100,1)&lt;=2)))))))</f>
        <v>1</v>
      </c>
      <c r="G2" s="50" t="b">
        <f>IF(F2=TRUE,IF(AND(B2&gt;=J$14,B2&lt;=J$15),TRUE,FALSE),FALSE)</f>
        <v>1</v>
      </c>
      <c r="I2" s="11" t="s">
        <v>100</v>
      </c>
      <c r="J2" s="40">
        <v>-0.2</v>
      </c>
    </row>
    <row r="3" s="50" customFormat="1" spans="1:12">
      <c r="A3" s="6" t="s">
        <v>12</v>
      </c>
      <c r="B3" s="58">
        <v>385.56</v>
      </c>
      <c r="C3" s="53">
        <f t="shared" ref="C3:C34" si="0">IF(B3="不开标",0,ROUND(IF(B3,MAX(0,100-100*J$6*IF(B3&gt;=$J$18,J$4,J$5)*ABS(B3-$J$18)/$J$18),""),4))</f>
        <v>99.3447</v>
      </c>
      <c r="D3" s="54">
        <f t="shared" ref="D3:D34" si="1">IF(B3="不开标","",_xlfn.RANK.EQ(C3,C:C,0))</f>
        <v>2</v>
      </c>
      <c r="F3" s="50" t="b">
        <f t="shared" ref="F3:F34" si="2">IF(B3="不开标",FALSE,IF($J$12&lt;10,TRUE,IF(AND($J$12&gt;=10,$J$12&lt;=20),NOT(OR(RANK(B3,$B$2:$B$100,0)=1,RANK(B3,$B$2:$B$100,1)=1)),IF(AND($J$12&gt;=20,$J$12&lt;30),NOT(OR(RANK(B3,$B$2:$B$100,0)&lt;=2,RANK(B3,$B$2:$B$100,1)=1)),IF($J$12&gt;=30,NOT(OR(RANK(B3,$B$2:$B$100,0)&lt;=3,RANK(B3,$B$2:$B$100,1)&lt;=2)))))))</f>
        <v>1</v>
      </c>
      <c r="G3" s="50" t="b">
        <f t="shared" ref="G3:G34" si="3">IF(F3=TRUE,IF(AND(B3&gt;=J$14,B3&lt;=J$15),TRUE,FALSE),FALSE)</f>
        <v>1</v>
      </c>
      <c r="I3" s="11" t="s">
        <v>101</v>
      </c>
      <c r="J3" s="40">
        <v>0.1</v>
      </c>
    </row>
    <row r="4" s="50" customFormat="1" spans="1:12">
      <c r="A4" s="6" t="s">
        <v>14</v>
      </c>
      <c r="B4" s="58">
        <v>357.839925</v>
      </c>
      <c r="C4" s="53">
        <f t="shared" si="0"/>
        <v>96.0512</v>
      </c>
      <c r="D4" s="54">
        <f t="shared" si="1"/>
        <v>3</v>
      </c>
      <c r="F4" s="50" t="b">
        <f t="shared" si="2"/>
        <v>1</v>
      </c>
      <c r="G4" s="50" t="b">
        <f t="shared" si="3"/>
        <v>1</v>
      </c>
      <c r="I4" s="11" t="s">
        <v>110</v>
      </c>
      <c r="J4" s="59">
        <v>1</v>
      </c>
    </row>
    <row r="5" s="50" customFormat="1" spans="1:12">
      <c r="A5" s="6" t="s">
        <v>16</v>
      </c>
      <c r="B5" s="58">
        <v>355.385</v>
      </c>
      <c r="C5" s="53">
        <f t="shared" si="0"/>
        <v>95.6667</v>
      </c>
      <c r="D5" s="54">
        <f t="shared" si="1"/>
        <v>4</v>
      </c>
      <c r="F5" s="50" t="b">
        <f t="shared" si="2"/>
        <v>1</v>
      </c>
      <c r="G5" s="50" t="b">
        <f t="shared" si="3"/>
        <v>1</v>
      </c>
      <c r="I5" s="11" t="s">
        <v>111</v>
      </c>
      <c r="J5" s="59">
        <v>0.6</v>
      </c>
    </row>
    <row r="6" s="50" customFormat="1" spans="1:12">
      <c r="A6" s="6" t="s">
        <v>18</v>
      </c>
      <c r="B6" s="58">
        <v>352.8</v>
      </c>
      <c r="C6" s="53">
        <f t="shared" si="0"/>
        <v>95.2617</v>
      </c>
      <c r="D6" s="54">
        <f t="shared" si="1"/>
        <v>5</v>
      </c>
      <c r="F6" s="50" t="b">
        <f t="shared" si="2"/>
        <v>1</v>
      </c>
      <c r="G6" s="50" t="b">
        <f t="shared" si="3"/>
        <v>1</v>
      </c>
      <c r="I6" s="11" t="s">
        <v>112</v>
      </c>
      <c r="J6" s="59">
        <v>1</v>
      </c>
    </row>
    <row r="7" s="50" customFormat="1" spans="1:12">
      <c r="A7" s="6" t="s">
        <v>20</v>
      </c>
      <c r="B7" s="58">
        <v>351.288</v>
      </c>
      <c r="C7" s="53">
        <f t="shared" si="0"/>
        <v>95.0249</v>
      </c>
      <c r="D7" s="54">
        <f t="shared" si="1"/>
        <v>6</v>
      </c>
      <c r="F7" s="50" t="b">
        <f t="shared" si="2"/>
        <v>1</v>
      </c>
      <c r="G7" s="50" t="b">
        <f t="shared" si="3"/>
        <v>1</v>
      </c>
      <c r="I7" s="11" t="s">
        <v>21</v>
      </c>
      <c r="J7" s="59">
        <v>504.2</v>
      </c>
    </row>
    <row r="8" s="50" customFormat="1" spans="1:12">
      <c r="A8" s="6" t="s">
        <v>22</v>
      </c>
      <c r="B8" s="58">
        <v>350.28</v>
      </c>
      <c r="C8" s="53">
        <f t="shared" si="0"/>
        <v>94.867</v>
      </c>
      <c r="D8" s="54">
        <f t="shared" si="1"/>
        <v>7</v>
      </c>
      <c r="F8" s="50" t="b">
        <f t="shared" si="2"/>
        <v>0</v>
      </c>
      <c r="G8" s="50" t="b">
        <f t="shared" si="3"/>
        <v>0</v>
      </c>
      <c r="I8" s="60" t="s">
        <v>23</v>
      </c>
      <c r="J8" s="61">
        <v>0.4</v>
      </c>
    </row>
    <row r="9" s="50" customFormat="1" spans="1:12">
      <c r="A9" s="6" t="s">
        <v>24</v>
      </c>
      <c r="B9" s="58">
        <v>347.75976</v>
      </c>
      <c r="C9" s="53">
        <f t="shared" si="0"/>
        <v>94.4723</v>
      </c>
      <c r="D9" s="54">
        <f t="shared" si="1"/>
        <v>8</v>
      </c>
      <c r="F9" s="50" t="b">
        <f t="shared" si="2"/>
        <v>0</v>
      </c>
      <c r="G9" s="50" t="b">
        <f t="shared" si="3"/>
        <v>0</v>
      </c>
      <c r="I9" s="3"/>
      <c r="J9" s="3"/>
    </row>
    <row r="10" s="50" customFormat="1" spans="1:12">
      <c r="A10" s="6" t="s">
        <v>25</v>
      </c>
      <c r="B10" s="58">
        <v>405.939488</v>
      </c>
      <c r="C10" s="53">
        <f t="shared" si="0"/>
        <v>94.0244</v>
      </c>
      <c r="D10" s="54">
        <f t="shared" si="1"/>
        <v>9</v>
      </c>
      <c r="F10" s="50" t="b">
        <f t="shared" si="2"/>
        <v>1</v>
      </c>
      <c r="G10" s="50" t="b">
        <f t="shared" si="3"/>
        <v>1</v>
      </c>
      <c r="I10" s="3"/>
      <c r="J10" s="3"/>
    </row>
    <row r="11" s="50" customFormat="1" spans="1:12">
      <c r="A11" s="6" t="s">
        <v>26</v>
      </c>
      <c r="B11" s="58">
        <v>408.336455</v>
      </c>
      <c r="C11" s="53">
        <f t="shared" si="0"/>
        <v>93.3986</v>
      </c>
      <c r="D11" s="54">
        <f t="shared" si="1"/>
        <v>10</v>
      </c>
      <c r="F11" s="50" t="b">
        <f t="shared" si="2"/>
        <v>1</v>
      </c>
      <c r="G11" s="50" t="b">
        <f t="shared" si="3"/>
        <v>1</v>
      </c>
      <c r="I11" s="5" t="s">
        <v>27</v>
      </c>
      <c r="J11" s="3"/>
    </row>
    <row r="12" s="50" customFormat="1" spans="1:12">
      <c r="A12" s="6" t="s">
        <v>28</v>
      </c>
      <c r="B12" s="58">
        <v>410.771724</v>
      </c>
      <c r="C12" s="53">
        <f t="shared" si="0"/>
        <v>92.7628</v>
      </c>
      <c r="D12" s="54">
        <f t="shared" si="1"/>
        <v>11</v>
      </c>
      <c r="F12" s="50" t="b">
        <f t="shared" si="2"/>
        <v>1</v>
      </c>
      <c r="G12" s="50" t="b">
        <f t="shared" si="3"/>
        <v>1</v>
      </c>
      <c r="I12" s="11" t="s">
        <v>103</v>
      </c>
      <c r="J12" s="44">
        <f>COUNTA(B:B)-1</f>
        <v>64</v>
      </c>
    </row>
    <row r="13" s="50" customFormat="1" spans="1:12">
      <c r="A13" s="6" t="s">
        <v>30</v>
      </c>
      <c r="B13" s="58">
        <v>411.885</v>
      </c>
      <c r="C13" s="53">
        <f t="shared" si="0"/>
        <v>92.4722</v>
      </c>
      <c r="D13" s="54">
        <f t="shared" si="1"/>
        <v>12</v>
      </c>
      <c r="F13" s="50" t="b">
        <f t="shared" si="2"/>
        <v>1</v>
      </c>
      <c r="G13" s="50" t="b">
        <f t="shared" si="3"/>
        <v>1</v>
      </c>
      <c r="I13" s="11" t="s">
        <v>31</v>
      </c>
      <c r="J13" s="62">
        <f>AVERAGEIF(F:F,TRUE,B:B)</f>
        <v>414.811576637931</v>
      </c>
    </row>
    <row r="14" s="50" customFormat="1" spans="1:12">
      <c r="A14" s="6" t="s">
        <v>32</v>
      </c>
      <c r="B14" s="58">
        <v>412.2579</v>
      </c>
      <c r="C14" s="53">
        <f t="shared" si="0"/>
        <v>92.3749</v>
      </c>
      <c r="D14" s="54">
        <f t="shared" si="1"/>
        <v>13</v>
      </c>
      <c r="F14" s="50" t="b">
        <f t="shared" si="2"/>
        <v>1</v>
      </c>
      <c r="G14" s="50" t="b">
        <f t="shared" si="3"/>
        <v>1</v>
      </c>
      <c r="I14" s="11" t="s">
        <v>33</v>
      </c>
      <c r="J14" s="47">
        <f>J$13*(1+J2)</f>
        <v>331.849261310345</v>
      </c>
    </row>
    <row r="15" s="50" customFormat="1" spans="1:12">
      <c r="A15" s="6" t="s">
        <v>34</v>
      </c>
      <c r="B15" s="58">
        <v>413.444</v>
      </c>
      <c r="C15" s="53">
        <f t="shared" si="0"/>
        <v>92.0652</v>
      </c>
      <c r="D15" s="54">
        <f t="shared" si="1"/>
        <v>14</v>
      </c>
      <c r="F15" s="50" t="b">
        <f t="shared" si="2"/>
        <v>1</v>
      </c>
      <c r="G15" s="50" t="b">
        <f t="shared" si="3"/>
        <v>1</v>
      </c>
      <c r="I15" s="11" t="s">
        <v>35</v>
      </c>
      <c r="J15" s="47">
        <f>J$13*(1+J3)</f>
        <v>456.292734301724</v>
      </c>
    </row>
    <row r="16" s="50" customFormat="1" spans="1:12">
      <c r="A16" s="6" t="s">
        <v>36</v>
      </c>
      <c r="B16" s="58">
        <v>413.444061</v>
      </c>
      <c r="C16" s="53">
        <f t="shared" si="0"/>
        <v>92.0652</v>
      </c>
      <c r="D16" s="54">
        <f t="shared" si="1"/>
        <v>14</v>
      </c>
      <c r="F16" s="50" t="b">
        <f t="shared" si="2"/>
        <v>1</v>
      </c>
      <c r="G16" s="50" t="b">
        <f t="shared" si="3"/>
        <v>1</v>
      </c>
      <c r="I16" s="11" t="s">
        <v>37</v>
      </c>
      <c r="J16" s="62">
        <f>AVERAGEIF(G:G,TRUE,B:B)</f>
        <v>414.811576637931</v>
      </c>
    </row>
    <row r="17" s="50" customFormat="1" ht="14.15" customHeight="1" spans="1:10">
      <c r="A17" s="6" t="s">
        <v>38</v>
      </c>
      <c r="B17" s="58">
        <v>414.149879</v>
      </c>
      <c r="C17" s="53">
        <f t="shared" si="0"/>
        <v>91.8809</v>
      </c>
      <c r="D17" s="54">
        <f t="shared" si="1"/>
        <v>16</v>
      </c>
      <c r="F17" s="50" t="b">
        <f t="shared" si="2"/>
        <v>1</v>
      </c>
      <c r="G17" s="50" t="b">
        <f t="shared" si="3"/>
        <v>1</v>
      </c>
      <c r="I17" s="11" t="s">
        <v>113</v>
      </c>
      <c r="J17" s="62">
        <f t="array" ref="J17">MIN(IF(G2:G49=TRUE,B2:B49))</f>
        <v>351.288</v>
      </c>
    </row>
    <row r="18" s="50" customFormat="1" spans="1:10">
      <c r="A18" s="6" t="s">
        <v>40</v>
      </c>
      <c r="B18" s="58">
        <v>414.5857</v>
      </c>
      <c r="C18" s="53">
        <f t="shared" si="0"/>
        <v>91.7672</v>
      </c>
      <c r="D18" s="54">
        <f t="shared" si="1"/>
        <v>17</v>
      </c>
      <c r="F18" s="50" t="b">
        <f t="shared" si="2"/>
        <v>1</v>
      </c>
      <c r="G18" s="50" t="b">
        <f t="shared" si="3"/>
        <v>1</v>
      </c>
      <c r="I18" s="11" t="s">
        <v>114</v>
      </c>
      <c r="J18" s="62">
        <f>IF(COUNTIF(G:G,TRUE)=0,AVERAGE(B:B),(J16+J17)/2)</f>
        <v>383.049788318966</v>
      </c>
    </row>
    <row r="19" s="50" customFormat="1" spans="1:10">
      <c r="A19" s="6" t="s">
        <v>42</v>
      </c>
      <c r="B19" s="58">
        <v>415.3654</v>
      </c>
      <c r="C19" s="53">
        <f t="shared" si="0"/>
        <v>91.5636</v>
      </c>
      <c r="D19" s="54">
        <f t="shared" si="1"/>
        <v>18</v>
      </c>
      <c r="F19" s="50" t="b">
        <f t="shared" si="2"/>
        <v>1</v>
      </c>
      <c r="G19" s="50" t="b">
        <f t="shared" si="3"/>
        <v>1</v>
      </c>
      <c r="I19" s="17" t="s">
        <v>41</v>
      </c>
      <c r="J19" s="49">
        <f>J18/J7</f>
        <v>0.759717945892435</v>
      </c>
    </row>
    <row r="20" s="50" customFormat="1" spans="1:10">
      <c r="A20" s="6" t="s">
        <v>43</v>
      </c>
      <c r="B20" s="58">
        <v>415.77333</v>
      </c>
      <c r="C20" s="53">
        <f t="shared" si="0"/>
        <v>91.4571</v>
      </c>
      <c r="D20" s="54">
        <f t="shared" si="1"/>
        <v>19</v>
      </c>
      <c r="F20" s="50" t="b">
        <f t="shared" si="2"/>
        <v>1</v>
      </c>
      <c r="G20" s="50" t="b">
        <f t="shared" si="3"/>
        <v>1</v>
      </c>
    </row>
    <row r="21" s="50" customFormat="1" spans="1:10">
      <c r="A21" s="6" t="s">
        <v>45</v>
      </c>
      <c r="B21" s="58">
        <v>415.9643</v>
      </c>
      <c r="C21" s="53">
        <f t="shared" si="0"/>
        <v>91.4072</v>
      </c>
      <c r="D21" s="54">
        <f t="shared" si="1"/>
        <v>20</v>
      </c>
      <c r="F21" s="50" t="b">
        <f t="shared" si="2"/>
        <v>1</v>
      </c>
      <c r="G21" s="50" t="b">
        <f t="shared" si="3"/>
        <v>1</v>
      </c>
      <c r="I21" s="5" t="s">
        <v>44</v>
      </c>
      <c r="J21" s="3"/>
    </row>
    <row r="22" s="50" customFormat="1" spans="1:10">
      <c r="A22" s="6" t="s">
        <v>47</v>
      </c>
      <c r="B22" s="58">
        <v>415.965001</v>
      </c>
      <c r="C22" s="53">
        <f t="shared" si="0"/>
        <v>91.4071</v>
      </c>
      <c r="D22" s="54">
        <f t="shared" si="1"/>
        <v>21</v>
      </c>
      <c r="F22" s="50" t="b">
        <f t="shared" si="2"/>
        <v>1</v>
      </c>
      <c r="G22" s="50" t="b">
        <f t="shared" si="3"/>
        <v>1</v>
      </c>
      <c r="I22" s="19" t="s">
        <v>46</v>
      </c>
      <c r="J22" s="20" t="str">
        <f>IFERROR(VLOOKUP(I22,B:D,3,0),"")</f>
        <v/>
      </c>
    </row>
    <row r="23" s="50" customFormat="1" spans="1:10">
      <c r="A23" s="6" t="s">
        <v>49</v>
      </c>
      <c r="B23" s="58">
        <v>415.965001</v>
      </c>
      <c r="C23" s="53">
        <f t="shared" si="0"/>
        <v>91.4071</v>
      </c>
      <c r="D23" s="54">
        <f t="shared" si="1"/>
        <v>21</v>
      </c>
      <c r="F23" s="50" t="b">
        <f t="shared" si="2"/>
        <v>1</v>
      </c>
      <c r="G23" s="50" t="b">
        <f t="shared" si="3"/>
        <v>1</v>
      </c>
      <c r="I23" s="11" t="s">
        <v>48</v>
      </c>
      <c r="J23" s="11" t="str">
        <f>IFERROR(VLOOKUP(I$22,A:C,3,0),"")</f>
        <v/>
      </c>
    </row>
    <row r="24" s="50" customFormat="1" spans="1:10">
      <c r="A24" s="6" t="s">
        <v>51</v>
      </c>
      <c r="B24" s="58">
        <v>417.309</v>
      </c>
      <c r="C24" s="53">
        <f t="shared" si="0"/>
        <v>91.0562</v>
      </c>
      <c r="D24" s="54">
        <f t="shared" si="1"/>
        <v>23</v>
      </c>
      <c r="F24" s="50" t="b">
        <f t="shared" si="2"/>
        <v>1</v>
      </c>
      <c r="G24" s="50" t="b">
        <f t="shared" si="3"/>
        <v>1</v>
      </c>
      <c r="I24" s="17" t="s">
        <v>50</v>
      </c>
      <c r="J24" s="17" t="str">
        <f>IFERROR(VLOOKUP(I$22,A:D,4,0),"")</f>
        <v/>
      </c>
    </row>
    <row r="25" s="50" customFormat="1" spans="1:10">
      <c r="A25" s="6" t="s">
        <v>53</v>
      </c>
      <c r="B25" s="58">
        <v>417.312051</v>
      </c>
      <c r="C25" s="53">
        <f t="shared" si="0"/>
        <v>91.0554</v>
      </c>
      <c r="D25" s="54">
        <f t="shared" si="1"/>
        <v>24</v>
      </c>
      <c r="F25" s="50" t="b">
        <f t="shared" si="2"/>
        <v>1</v>
      </c>
      <c r="G25" s="50" t="b">
        <f t="shared" si="3"/>
        <v>1</v>
      </c>
      <c r="I25" s="11" t="s">
        <v>52</v>
      </c>
      <c r="J25" s="22">
        <f t="array" ref="J25">MAX(C:C)</f>
        <v>99.9629</v>
      </c>
    </row>
    <row r="26" s="50" customFormat="1" spans="1:10">
      <c r="A26" s="6" t="s">
        <v>55</v>
      </c>
      <c r="B26" s="58">
        <v>417.78012</v>
      </c>
      <c r="C26" s="53">
        <f t="shared" si="0"/>
        <v>90.9332</v>
      </c>
      <c r="D26" s="54">
        <f t="shared" si="1"/>
        <v>25</v>
      </c>
      <c r="F26" s="50" t="b">
        <f t="shared" si="2"/>
        <v>1</v>
      </c>
      <c r="G26" s="50" t="b">
        <f t="shared" si="3"/>
        <v>1</v>
      </c>
      <c r="I26" s="11" t="s">
        <v>54</v>
      </c>
      <c r="J26" s="11" t="str">
        <f>IFERROR(J25-J23,"")</f>
        <v/>
      </c>
    </row>
    <row r="27" s="50" customFormat="1" spans="1:10">
      <c r="A27" s="6" t="s">
        <v>57</v>
      </c>
      <c r="B27" s="58">
        <v>418.486</v>
      </c>
      <c r="C27" s="53">
        <f t="shared" si="0"/>
        <v>90.7489</v>
      </c>
      <c r="D27" s="54">
        <f t="shared" si="1"/>
        <v>26</v>
      </c>
      <c r="F27" s="50" t="b">
        <f t="shared" si="2"/>
        <v>1</v>
      </c>
      <c r="G27" s="50" t="b">
        <f t="shared" si="3"/>
        <v>1</v>
      </c>
      <c r="I27" s="17" t="s">
        <v>56</v>
      </c>
      <c r="J27" s="17" t="str">
        <f>IFERROR(J26*J8,"")</f>
        <v/>
      </c>
    </row>
    <row r="28" s="50" customFormat="1" spans="1:10">
      <c r="A28" s="6" t="s">
        <v>58</v>
      </c>
      <c r="B28" s="58">
        <v>418.48646</v>
      </c>
      <c r="C28" s="53">
        <f t="shared" si="0"/>
        <v>90.7488</v>
      </c>
      <c r="D28" s="54">
        <f t="shared" si="1"/>
        <v>27</v>
      </c>
      <c r="F28" s="50" t="b">
        <f t="shared" si="2"/>
        <v>1</v>
      </c>
      <c r="G28" s="50" t="b">
        <f t="shared" si="3"/>
        <v>1</v>
      </c>
    </row>
    <row r="29" s="50" customFormat="1" spans="1:10">
      <c r="A29" s="6" t="s">
        <v>59</v>
      </c>
      <c r="B29" s="58">
        <v>418.552</v>
      </c>
      <c r="C29" s="53">
        <f t="shared" si="0"/>
        <v>90.7317</v>
      </c>
      <c r="D29" s="54">
        <f t="shared" si="1"/>
        <v>28</v>
      </c>
      <c r="F29" s="50" t="b">
        <f t="shared" si="2"/>
        <v>1</v>
      </c>
      <c r="G29" s="50" t="b">
        <f t="shared" si="3"/>
        <v>1</v>
      </c>
    </row>
    <row r="30" s="50" customFormat="1" spans="1:10">
      <c r="A30" s="6" t="s">
        <v>60</v>
      </c>
      <c r="B30" s="58">
        <v>418.9475</v>
      </c>
      <c r="C30" s="53">
        <f t="shared" si="0"/>
        <v>90.6284</v>
      </c>
      <c r="D30" s="54">
        <f t="shared" si="1"/>
        <v>29</v>
      </c>
      <c r="F30" s="50" t="b">
        <f t="shared" si="2"/>
        <v>1</v>
      </c>
      <c r="G30" s="50" t="b">
        <f t="shared" si="3"/>
        <v>1</v>
      </c>
    </row>
    <row r="31" s="50" customFormat="1" spans="1:10">
      <c r="A31" s="6" t="s">
        <v>61</v>
      </c>
      <c r="B31" s="58">
        <v>418.9902</v>
      </c>
      <c r="C31" s="53">
        <f t="shared" si="0"/>
        <v>90.6173</v>
      </c>
      <c r="D31" s="54">
        <f t="shared" si="1"/>
        <v>30</v>
      </c>
      <c r="F31" s="50" t="b">
        <f t="shared" si="2"/>
        <v>1</v>
      </c>
      <c r="G31" s="50" t="b">
        <f t="shared" si="3"/>
        <v>1</v>
      </c>
    </row>
    <row r="32" s="50" customFormat="1" spans="1:10">
      <c r="A32" s="6" t="s">
        <v>62</v>
      </c>
      <c r="B32" s="58">
        <v>419.004</v>
      </c>
      <c r="C32" s="53">
        <f t="shared" si="0"/>
        <v>90.6137</v>
      </c>
      <c r="D32" s="54">
        <f t="shared" si="1"/>
        <v>31</v>
      </c>
      <c r="F32" s="50" t="b">
        <f t="shared" si="2"/>
        <v>1</v>
      </c>
      <c r="G32" s="50" t="b">
        <f t="shared" si="3"/>
        <v>1</v>
      </c>
    </row>
    <row r="33" s="50" customFormat="1" spans="1:7">
      <c r="A33" s="6" t="s">
        <v>63</v>
      </c>
      <c r="B33" s="58">
        <v>419.004113</v>
      </c>
      <c r="C33" s="53">
        <f t="shared" si="0"/>
        <v>90.6137</v>
      </c>
      <c r="D33" s="54">
        <f t="shared" si="1"/>
        <v>31</v>
      </c>
      <c r="F33" s="50" t="b">
        <f t="shared" si="2"/>
        <v>1</v>
      </c>
      <c r="G33" s="50" t="b">
        <f t="shared" si="3"/>
        <v>1</v>
      </c>
    </row>
    <row r="34" s="50" customFormat="1" spans="1:7">
      <c r="A34" s="6" t="s">
        <v>64</v>
      </c>
      <c r="B34" s="58">
        <v>419.640618</v>
      </c>
      <c r="C34" s="53">
        <f t="shared" si="0"/>
        <v>90.4475</v>
      </c>
      <c r="D34" s="54">
        <f t="shared" si="1"/>
        <v>33</v>
      </c>
      <c r="F34" s="50" t="b">
        <f t="shared" si="2"/>
        <v>1</v>
      </c>
      <c r="G34" s="50" t="b">
        <f t="shared" si="3"/>
        <v>1</v>
      </c>
    </row>
    <row r="35" s="50" customFormat="1" spans="1:7">
      <c r="A35" s="6" t="s">
        <v>65</v>
      </c>
      <c r="B35" s="58">
        <v>420.125366</v>
      </c>
      <c r="C35" s="53">
        <f t="shared" ref="C35:C65" si="4">IF(B35="不开标",0,ROUND(IF(B35,MAX(0,100-100*J$6*IF(B35&gt;=$J$18,J$4,J$5)*ABS(B35-$J$18)/$J$18),""),4))</f>
        <v>90.321</v>
      </c>
      <c r="D35" s="54">
        <f t="shared" ref="D35:D65" si="5">IF(B35="不开标","",_xlfn.RANK.EQ(C35,C:C,0))</f>
        <v>34</v>
      </c>
      <c r="F35" s="50" t="b">
        <f t="shared" ref="F35:F65" si="6">IF(B35="不开标",FALSE,IF($J$12&lt;10,TRUE,IF(AND($J$12&gt;=10,$J$12&lt;=20),NOT(OR(RANK(B35,$B$2:$B$100,0)=1,RANK(B35,$B$2:$B$100,1)=1)),IF(AND($J$12&gt;=20,$J$12&lt;30),NOT(OR(RANK(B35,$B$2:$B$100,0)&lt;=2,RANK(B35,$B$2:$B$100,1)=1)),IF($J$12&gt;=30,NOT(OR(RANK(B35,$B$2:$B$100,0)&lt;=3,RANK(B35,$B$2:$B$100,1)&lt;=2)))))))</f>
        <v>1</v>
      </c>
      <c r="G35" s="50" t="b">
        <f t="shared" ref="G35:G65" si="7">IF(F35=TRUE,IF(AND(B35&gt;=J$14,B35&lt;=J$15),TRUE,FALSE),FALSE)</f>
        <v>1</v>
      </c>
    </row>
    <row r="36" s="50" customFormat="1" spans="1:7">
      <c r="A36" s="6" t="s">
        <v>66</v>
      </c>
      <c r="B36" s="58">
        <v>420.16</v>
      </c>
      <c r="C36" s="53">
        <f t="shared" si="4"/>
        <v>90.3119</v>
      </c>
      <c r="D36" s="54">
        <f t="shared" si="5"/>
        <v>35</v>
      </c>
      <c r="F36" s="50" t="b">
        <f t="shared" si="6"/>
        <v>1</v>
      </c>
      <c r="G36" s="50" t="b">
        <f t="shared" si="7"/>
        <v>1</v>
      </c>
    </row>
    <row r="37" s="50" customFormat="1" spans="1:7">
      <c r="A37" s="6" t="s">
        <v>67</v>
      </c>
      <c r="B37" s="58">
        <v>420.36</v>
      </c>
      <c r="C37" s="53">
        <f t="shared" si="4"/>
        <v>90.2597</v>
      </c>
      <c r="D37" s="54">
        <f t="shared" si="5"/>
        <v>36</v>
      </c>
      <c r="F37" s="50" t="b">
        <f t="shared" si="6"/>
        <v>1</v>
      </c>
      <c r="G37" s="50" t="b">
        <f t="shared" si="7"/>
        <v>1</v>
      </c>
    </row>
    <row r="38" s="50" customFormat="1" spans="1:7">
      <c r="A38" s="6" t="s">
        <v>68</v>
      </c>
      <c r="B38" s="58">
        <v>420.754822</v>
      </c>
      <c r="C38" s="53">
        <f t="shared" si="4"/>
        <v>90.1566</v>
      </c>
      <c r="D38" s="54">
        <f t="shared" si="5"/>
        <v>37</v>
      </c>
      <c r="F38" s="50" t="b">
        <f t="shared" si="6"/>
        <v>1</v>
      </c>
      <c r="G38" s="50" t="b">
        <f t="shared" si="7"/>
        <v>1</v>
      </c>
    </row>
    <row r="39" s="50" customFormat="1" spans="1:7">
      <c r="A39" s="6" t="s">
        <v>69</v>
      </c>
      <c r="B39" s="58">
        <v>421.007</v>
      </c>
      <c r="C39" s="53">
        <f t="shared" si="4"/>
        <v>90.0908</v>
      </c>
      <c r="D39" s="54">
        <f t="shared" si="5"/>
        <v>38</v>
      </c>
      <c r="F39" s="50" t="b">
        <f t="shared" si="6"/>
        <v>1</v>
      </c>
      <c r="G39" s="50" t="b">
        <f t="shared" si="7"/>
        <v>1</v>
      </c>
    </row>
    <row r="40" s="50" customFormat="1" spans="1:7">
      <c r="A40" s="6" t="s">
        <v>70</v>
      </c>
      <c r="B40" s="58">
        <v>421.763299</v>
      </c>
      <c r="C40" s="53">
        <f t="shared" si="4"/>
        <v>89.8933</v>
      </c>
      <c r="D40" s="54">
        <f t="shared" si="5"/>
        <v>39</v>
      </c>
      <c r="F40" s="50" t="b">
        <f t="shared" si="6"/>
        <v>1</v>
      </c>
      <c r="G40" s="50" t="b">
        <f t="shared" si="7"/>
        <v>1</v>
      </c>
    </row>
    <row r="41" s="50" customFormat="1" spans="1:7">
      <c r="A41" s="6" t="s">
        <v>71</v>
      </c>
      <c r="B41" s="58">
        <v>422.015401</v>
      </c>
      <c r="C41" s="53">
        <f t="shared" si="4"/>
        <v>89.8275</v>
      </c>
      <c r="D41" s="54">
        <f t="shared" si="5"/>
        <v>40</v>
      </c>
      <c r="F41" s="50" t="b">
        <f t="shared" si="6"/>
        <v>1</v>
      </c>
      <c r="G41" s="50" t="b">
        <f t="shared" si="7"/>
        <v>1</v>
      </c>
    </row>
    <row r="42" s="50" customFormat="1" spans="1:7">
      <c r="A42" s="6" t="s">
        <v>72</v>
      </c>
      <c r="B42" s="58">
        <v>422.055</v>
      </c>
      <c r="C42" s="53">
        <f t="shared" si="4"/>
        <v>89.8172</v>
      </c>
      <c r="D42" s="54">
        <f t="shared" si="5"/>
        <v>41</v>
      </c>
      <c r="F42" s="50" t="b">
        <f t="shared" si="6"/>
        <v>1</v>
      </c>
      <c r="G42" s="50" t="b">
        <f t="shared" si="7"/>
        <v>1</v>
      </c>
    </row>
    <row r="43" s="50" customFormat="1" spans="1:7">
      <c r="A43" s="6" t="s">
        <v>73</v>
      </c>
      <c r="B43" s="58">
        <v>422.519601</v>
      </c>
      <c r="C43" s="53">
        <f t="shared" si="4"/>
        <v>89.6959</v>
      </c>
      <c r="D43" s="54">
        <f t="shared" si="5"/>
        <v>42</v>
      </c>
      <c r="F43" s="50" t="b">
        <f t="shared" si="6"/>
        <v>1</v>
      </c>
      <c r="G43" s="50" t="b">
        <f t="shared" si="7"/>
        <v>1</v>
      </c>
    </row>
    <row r="44" s="50" customFormat="1" spans="1:7">
      <c r="A44" s="6" t="s">
        <v>74</v>
      </c>
      <c r="B44" s="58">
        <v>422.7717</v>
      </c>
      <c r="C44" s="53">
        <f t="shared" si="4"/>
        <v>89.6301</v>
      </c>
      <c r="D44" s="54">
        <f t="shared" si="5"/>
        <v>43</v>
      </c>
      <c r="F44" s="50" t="b">
        <f t="shared" si="6"/>
        <v>1</v>
      </c>
      <c r="G44" s="50" t="b">
        <f t="shared" si="7"/>
        <v>1</v>
      </c>
    </row>
    <row r="45" s="50" customFormat="1" spans="1:7">
      <c r="A45" s="6" t="s">
        <v>75</v>
      </c>
      <c r="B45" s="58">
        <v>423.519683</v>
      </c>
      <c r="C45" s="53">
        <f t="shared" si="4"/>
        <v>89.4348</v>
      </c>
      <c r="D45" s="54">
        <f t="shared" si="5"/>
        <v>44</v>
      </c>
      <c r="F45" s="50" t="b">
        <f t="shared" si="6"/>
        <v>1</v>
      </c>
      <c r="G45" s="50" t="b">
        <f t="shared" si="7"/>
        <v>1</v>
      </c>
    </row>
    <row r="46" s="50" customFormat="1" spans="1:7">
      <c r="A46" s="6" t="s">
        <v>76</v>
      </c>
      <c r="B46" s="58">
        <v>423.528</v>
      </c>
      <c r="C46" s="53">
        <f t="shared" si="4"/>
        <v>89.4327</v>
      </c>
      <c r="D46" s="54">
        <f t="shared" si="5"/>
        <v>45</v>
      </c>
      <c r="F46" s="50" t="b">
        <f t="shared" si="6"/>
        <v>1</v>
      </c>
      <c r="G46" s="50" t="b">
        <f t="shared" si="7"/>
        <v>1</v>
      </c>
    </row>
    <row r="47" s="50" customFormat="1" spans="1:7">
      <c r="A47" s="6" t="s">
        <v>77</v>
      </c>
      <c r="B47" s="58">
        <v>423.75</v>
      </c>
      <c r="C47" s="53">
        <f t="shared" si="4"/>
        <v>89.3747</v>
      </c>
      <c r="D47" s="54">
        <f t="shared" si="5"/>
        <v>46</v>
      </c>
      <c r="F47" s="50" t="b">
        <f t="shared" si="6"/>
        <v>1</v>
      </c>
      <c r="G47" s="50" t="b">
        <f t="shared" si="7"/>
        <v>1</v>
      </c>
    </row>
    <row r="48" s="50" customFormat="1" spans="1:7">
      <c r="A48" s="6" t="s">
        <v>78</v>
      </c>
      <c r="B48" s="58">
        <v>423.93136</v>
      </c>
      <c r="C48" s="53">
        <f t="shared" si="4"/>
        <v>89.3273</v>
      </c>
      <c r="D48" s="54">
        <f t="shared" si="5"/>
        <v>47</v>
      </c>
      <c r="F48" s="50" t="b">
        <f t="shared" si="6"/>
        <v>1</v>
      </c>
      <c r="G48" s="50" t="b">
        <f t="shared" si="7"/>
        <v>1</v>
      </c>
    </row>
    <row r="49" s="50" customFormat="1" spans="1:7">
      <c r="A49" s="6" t="s">
        <v>79</v>
      </c>
      <c r="B49" s="58">
        <v>424.536434</v>
      </c>
      <c r="C49" s="53">
        <f t="shared" si="4"/>
        <v>89.1694</v>
      </c>
      <c r="D49" s="54">
        <f t="shared" si="5"/>
        <v>48</v>
      </c>
      <c r="F49" s="50" t="b">
        <f t="shared" si="6"/>
        <v>1</v>
      </c>
      <c r="G49" s="50" t="b">
        <f t="shared" si="7"/>
        <v>1</v>
      </c>
    </row>
    <row r="50" s="50" customFormat="1" spans="1:7">
      <c r="A50" s="6" t="s">
        <v>80</v>
      </c>
      <c r="B50" s="58">
        <v>424.889266</v>
      </c>
      <c r="C50" s="53">
        <f t="shared" si="4"/>
        <v>89.0773</v>
      </c>
      <c r="D50" s="54">
        <f t="shared" si="5"/>
        <v>49</v>
      </c>
      <c r="F50" s="50" t="b">
        <f t="shared" si="6"/>
        <v>1</v>
      </c>
      <c r="G50" s="50" t="b">
        <f t="shared" si="7"/>
        <v>1</v>
      </c>
    </row>
    <row r="51" s="50" customFormat="1" spans="1:7">
      <c r="A51" s="6" t="s">
        <v>81</v>
      </c>
      <c r="B51" s="58">
        <v>424.939761</v>
      </c>
      <c r="C51" s="53">
        <f t="shared" si="4"/>
        <v>89.0641</v>
      </c>
      <c r="D51" s="54">
        <f t="shared" si="5"/>
        <v>50</v>
      </c>
      <c r="F51" s="50" t="b">
        <f t="shared" si="6"/>
        <v>1</v>
      </c>
      <c r="G51" s="50" t="b">
        <f t="shared" si="7"/>
        <v>1</v>
      </c>
    </row>
    <row r="52" s="50" customFormat="1" ht="13.3" customHeight="1" spans="1:7">
      <c r="A52" s="6" t="s">
        <v>82</v>
      </c>
      <c r="B52" s="58">
        <v>427.813367</v>
      </c>
      <c r="C52" s="53">
        <f t="shared" si="4"/>
        <v>88.3139</v>
      </c>
      <c r="D52" s="54">
        <f t="shared" si="5"/>
        <v>51</v>
      </c>
      <c r="F52" s="50" t="b">
        <f t="shared" si="6"/>
        <v>1</v>
      </c>
      <c r="G52" s="50" t="b">
        <f t="shared" si="7"/>
        <v>1</v>
      </c>
    </row>
    <row r="53" s="50" customFormat="1" spans="1:7">
      <c r="A53" s="6" t="s">
        <v>83</v>
      </c>
      <c r="B53" s="58">
        <v>428.496</v>
      </c>
      <c r="C53" s="53">
        <f t="shared" si="4"/>
        <v>88.1357</v>
      </c>
      <c r="D53" s="54">
        <f t="shared" si="5"/>
        <v>52</v>
      </c>
      <c r="F53" s="50" t="b">
        <f t="shared" si="6"/>
        <v>1</v>
      </c>
      <c r="G53" s="50" t="b">
        <f t="shared" si="7"/>
        <v>1</v>
      </c>
    </row>
    <row r="54" s="50" customFormat="1" spans="1:7">
      <c r="A54" s="6" t="s">
        <v>84</v>
      </c>
      <c r="B54" s="58">
        <v>428.57</v>
      </c>
      <c r="C54" s="53">
        <f t="shared" si="4"/>
        <v>88.1164</v>
      </c>
      <c r="D54" s="54">
        <f t="shared" si="5"/>
        <v>53</v>
      </c>
      <c r="F54" s="50" t="b">
        <f t="shared" si="6"/>
        <v>1</v>
      </c>
      <c r="G54" s="50" t="b">
        <f t="shared" si="7"/>
        <v>1</v>
      </c>
    </row>
    <row r="55" s="50" customFormat="1" spans="1:7">
      <c r="A55" s="6" t="s">
        <v>85</v>
      </c>
      <c r="B55" s="58">
        <v>429.074201</v>
      </c>
      <c r="C55" s="53">
        <f t="shared" si="4"/>
        <v>87.9847</v>
      </c>
      <c r="D55" s="54">
        <f t="shared" si="5"/>
        <v>54</v>
      </c>
      <c r="F55" s="50" t="b">
        <f t="shared" si="6"/>
        <v>1</v>
      </c>
      <c r="G55" s="50" t="b">
        <f t="shared" si="7"/>
        <v>1</v>
      </c>
    </row>
    <row r="56" s="50" customFormat="1" spans="1:7">
      <c r="A56" s="6" t="s">
        <v>86</v>
      </c>
      <c r="B56" s="58">
        <v>429.5784</v>
      </c>
      <c r="C56" s="53">
        <f t="shared" si="4"/>
        <v>87.8531</v>
      </c>
      <c r="D56" s="54">
        <f t="shared" si="5"/>
        <v>55</v>
      </c>
      <c r="F56" s="50" t="b">
        <f t="shared" si="6"/>
        <v>1</v>
      </c>
      <c r="G56" s="50" t="b">
        <f t="shared" si="7"/>
        <v>1</v>
      </c>
    </row>
    <row r="57" s="50" customFormat="1" spans="1:7">
      <c r="A57" s="6" t="s">
        <v>87</v>
      </c>
      <c r="B57" s="58">
        <v>430.586802</v>
      </c>
      <c r="C57" s="53">
        <f t="shared" si="4"/>
        <v>87.5899</v>
      </c>
      <c r="D57" s="54">
        <f t="shared" si="5"/>
        <v>56</v>
      </c>
      <c r="F57" s="50" t="b">
        <f t="shared" si="6"/>
        <v>1</v>
      </c>
      <c r="G57" s="50" t="b">
        <f t="shared" si="7"/>
        <v>1</v>
      </c>
    </row>
    <row r="58" s="50" customFormat="1" spans="1:7">
      <c r="A58" s="6" t="s">
        <v>88</v>
      </c>
      <c r="B58" s="58">
        <v>431.091</v>
      </c>
      <c r="C58" s="53">
        <f t="shared" si="4"/>
        <v>87.4582</v>
      </c>
      <c r="D58" s="54">
        <f t="shared" si="5"/>
        <v>57</v>
      </c>
      <c r="F58" s="50" t="b">
        <f t="shared" si="6"/>
        <v>1</v>
      </c>
      <c r="G58" s="50" t="b">
        <f t="shared" si="7"/>
        <v>1</v>
      </c>
    </row>
    <row r="59" s="50" customFormat="1" spans="1:7">
      <c r="A59" s="6" t="s">
        <v>89</v>
      </c>
      <c r="B59" s="58">
        <v>431.091</v>
      </c>
      <c r="C59" s="53">
        <f t="shared" si="4"/>
        <v>87.4582</v>
      </c>
      <c r="D59" s="54">
        <f t="shared" si="5"/>
        <v>57</v>
      </c>
      <c r="F59" s="50" t="b">
        <f t="shared" si="6"/>
        <v>1</v>
      </c>
      <c r="G59" s="50" t="b">
        <f t="shared" si="7"/>
        <v>1</v>
      </c>
    </row>
    <row r="60" s="50" customFormat="1" spans="1:7">
      <c r="A60" s="6" t="s">
        <v>90</v>
      </c>
      <c r="B60" s="58">
        <v>433.107756</v>
      </c>
      <c r="C60" s="53">
        <f t="shared" si="4"/>
        <v>86.9317</v>
      </c>
      <c r="D60" s="54">
        <f t="shared" si="5"/>
        <v>59</v>
      </c>
      <c r="F60" s="50" t="b">
        <f t="shared" si="6"/>
        <v>1</v>
      </c>
      <c r="G60" s="50" t="b">
        <f t="shared" si="7"/>
        <v>1</v>
      </c>
    </row>
    <row r="61" s="50" customFormat="1" spans="1:7">
      <c r="A61" s="6" t="s">
        <v>91</v>
      </c>
      <c r="B61" s="58">
        <v>433.612</v>
      </c>
      <c r="C61" s="53">
        <f t="shared" si="4"/>
        <v>86.8001</v>
      </c>
      <c r="D61" s="54">
        <f t="shared" si="5"/>
        <v>60</v>
      </c>
      <c r="F61" s="50" t="b">
        <f t="shared" si="6"/>
        <v>1</v>
      </c>
      <c r="G61" s="50" t="b">
        <f t="shared" si="7"/>
        <v>1</v>
      </c>
    </row>
    <row r="62" s="50" customFormat="1" spans="1:7">
      <c r="A62" s="6" t="s">
        <v>92</v>
      </c>
      <c r="B62" s="58">
        <v>437.544759</v>
      </c>
      <c r="C62" s="53">
        <f t="shared" si="4"/>
        <v>85.7734</v>
      </c>
      <c r="D62" s="54">
        <f t="shared" si="5"/>
        <v>61</v>
      </c>
      <c r="F62" s="50" t="b">
        <f t="shared" si="6"/>
        <v>0</v>
      </c>
      <c r="G62" s="50" t="b">
        <f t="shared" si="7"/>
        <v>0</v>
      </c>
    </row>
    <row r="63" s="50" customFormat="1" spans="1:7">
      <c r="A63" s="6" t="s">
        <v>93</v>
      </c>
      <c r="B63" s="58">
        <v>443.6945</v>
      </c>
      <c r="C63" s="53">
        <f t="shared" si="4"/>
        <v>84.1679</v>
      </c>
      <c r="D63" s="54">
        <f t="shared" si="5"/>
        <v>62</v>
      </c>
      <c r="F63" s="50" t="b">
        <f t="shared" si="6"/>
        <v>0</v>
      </c>
      <c r="G63" s="50" t="b">
        <f t="shared" si="7"/>
        <v>0</v>
      </c>
    </row>
    <row r="64" s="50" customFormat="1" spans="1:7">
      <c r="A64" s="6" t="s">
        <v>94</v>
      </c>
      <c r="B64" s="58">
        <v>453.779997</v>
      </c>
      <c r="C64" s="53">
        <f t="shared" si="4"/>
        <v>81.535</v>
      </c>
      <c r="D64" s="54">
        <f t="shared" si="5"/>
        <v>63</v>
      </c>
      <c r="F64" s="50" t="b">
        <f t="shared" si="6"/>
        <v>0</v>
      </c>
      <c r="G64" s="50" t="b">
        <f t="shared" si="7"/>
        <v>0</v>
      </c>
    </row>
    <row r="65" s="50" customFormat="1" spans="1:7">
      <c r="A65" s="6" t="s">
        <v>95</v>
      </c>
      <c r="B65" s="58" t="s">
        <v>99</v>
      </c>
      <c r="C65" s="53">
        <f t="shared" si="4"/>
        <v>0</v>
      </c>
      <c r="D65" s="54" t="str">
        <f t="shared" si="5"/>
        <v/>
      </c>
      <c r="F65" s="50" t="b">
        <f t="shared" si="6"/>
        <v>0</v>
      </c>
      <c r="G65" s="50" t="b">
        <f t="shared" si="7"/>
        <v>0</v>
      </c>
    </row>
    <row r="66" s="50" customFormat="1" spans="1:7">
      <c r="A66" s="63"/>
      <c r="B66" s="52"/>
      <c r="C66" s="53"/>
      <c r="D66" s="54"/>
    </row>
  </sheetData>
  <autoFilter xmlns:etc="http://www.wps.cn/officeDocument/2017/etCustomData" ref="A1:E70" etc:filterBottomFollowUsedRange="0">
    <sortState ref="A1:E70">
      <sortCondition ref="D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zoomScale="115" zoomScaleNormal="115" workbookViewId="0">
      <pane ySplit="26" topLeftCell="A27" activePane="bottomLeft" state="frozen"/>
      <selection/>
      <selection pane="bottomLeft" activeCell="G37" sqref="G37"/>
    </sheetView>
  </sheetViews>
  <sheetFormatPr defaultColWidth="9.81818181818182" defaultRowHeight="14"/>
  <cols>
    <col min="1" max="1" width="11.4454545454545" style="2" customWidth="1"/>
    <col min="2" max="2" width="11.9181818181818" style="2" customWidth="1"/>
    <col min="3" max="3" width="10.7545454545455" style="1" customWidth="1"/>
    <col min="4" max="4" width="9.81818181818182" style="1"/>
    <col min="5" max="5" width="11.9181818181818" style="1" customWidth="1"/>
    <col min="6" max="6" width="5.21818181818182" style="1" customWidth="1"/>
    <col min="7" max="7" width="29.8181818181818" style="1" customWidth="1"/>
    <col min="8" max="8" width="14" style="1" customWidth="1"/>
    <col min="9" max="16372" width="9.81818181818182" style="1"/>
    <col min="16373" max="16384" width="9.81818181818182" style="3"/>
  </cols>
  <sheetData>
    <row r="1" s="1" customFormat="1" ht="14.15" customHeight="1" spans="1:10">
      <c r="A1" s="24" t="s">
        <v>106</v>
      </c>
      <c r="B1" s="24" t="s">
        <v>115</v>
      </c>
      <c r="C1" s="4" t="s">
        <v>5</v>
      </c>
      <c r="D1" s="4" t="s">
        <v>6</v>
      </c>
      <c r="E1" s="4" t="s">
        <v>116</v>
      </c>
      <c r="G1" s="5" t="s">
        <v>9</v>
      </c>
      <c r="H1" s="3"/>
      <c r="I1" s="37"/>
      <c r="J1" s="37"/>
    </row>
    <row r="2" s="1" customFormat="1" spans="1:10">
      <c r="A2" s="6" t="s">
        <v>20</v>
      </c>
      <c r="B2" s="38">
        <v>35.675</v>
      </c>
      <c r="C2" s="39">
        <f>IF(B2="不开标",0,ROUND(100-100*IF(B2&gt;=H$17,H$4,H$5)*ABS(B2-H$17)/H$17,4))</f>
        <v>99.2346</v>
      </c>
      <c r="D2" s="9">
        <f>IF(B2="不开标","",_xlfn.RANK.EQ(C2,C:C,0))</f>
        <v>1</v>
      </c>
      <c r="E2" s="1" t="b">
        <f>IF(B2="不开标",FALSE,IF(AND(B2&lt;H$14,B2&gt;H$15),FALSE,TRUE))</f>
        <v>1</v>
      </c>
      <c r="G2" s="11" t="s">
        <v>11</v>
      </c>
      <c r="H2" s="40">
        <v>-0.2</v>
      </c>
      <c r="I2" s="37"/>
      <c r="J2" s="37"/>
    </row>
    <row r="3" s="1" customFormat="1" spans="1:10">
      <c r="A3" s="6" t="s">
        <v>26</v>
      </c>
      <c r="B3" s="38">
        <v>35.2345</v>
      </c>
      <c r="C3" s="39">
        <f t="shared" ref="C3:C12" si="0">IF(B3="不开标",0,ROUND(100-100*IF(B3&gt;=H$17,H$4,H$5)*ABS(B3-H$17)/H$17,4))</f>
        <v>98.6267</v>
      </c>
      <c r="D3" s="9">
        <f t="shared" ref="D3:D12" si="1">IF(B3="不开标","",_xlfn.RANK.EQ(C3,C:C,0))</f>
        <v>2</v>
      </c>
      <c r="E3" s="1" t="b">
        <f t="shared" ref="E3:E12" si="2">IF(B3="不开标",FALSE,IF(AND(B3&lt;H$14,B3&gt;H$15),FALSE,TRUE))</f>
        <v>1</v>
      </c>
      <c r="G3" s="11" t="s">
        <v>13</v>
      </c>
      <c r="H3" s="40">
        <v>0.15</v>
      </c>
      <c r="I3" s="37"/>
      <c r="J3" s="37"/>
    </row>
    <row r="4" s="1" customFormat="1" spans="1:10">
      <c r="A4" s="6" t="s">
        <v>18</v>
      </c>
      <c r="B4" s="38">
        <v>35</v>
      </c>
      <c r="C4" s="39">
        <f t="shared" si="0"/>
        <v>98.303</v>
      </c>
      <c r="D4" s="9">
        <f t="shared" si="1"/>
        <v>3</v>
      </c>
      <c r="E4" s="1" t="b">
        <f t="shared" si="2"/>
        <v>1</v>
      </c>
      <c r="G4" s="11" t="s">
        <v>15</v>
      </c>
      <c r="H4" s="27">
        <v>1</v>
      </c>
      <c r="I4" s="37"/>
      <c r="J4" s="37"/>
    </row>
    <row r="5" s="1" customFormat="1" spans="1:10">
      <c r="A5" s="6" t="s">
        <v>25</v>
      </c>
      <c r="B5" s="38">
        <v>34.989</v>
      </c>
      <c r="C5" s="39">
        <f t="shared" si="0"/>
        <v>98.2878</v>
      </c>
      <c r="D5" s="9">
        <f t="shared" si="1"/>
        <v>4</v>
      </c>
      <c r="E5" s="1" t="b">
        <f t="shared" si="2"/>
        <v>1</v>
      </c>
      <c r="G5" s="11" t="s">
        <v>17</v>
      </c>
      <c r="H5" s="27">
        <v>0.5</v>
      </c>
      <c r="I5" s="37"/>
      <c r="J5" s="37"/>
    </row>
    <row r="6" s="1" customFormat="1" spans="1:10">
      <c r="A6" s="6" t="s">
        <v>22</v>
      </c>
      <c r="B6" s="38">
        <v>36.8745</v>
      </c>
      <c r="C6" s="39">
        <f t="shared" si="0"/>
        <v>98.22</v>
      </c>
      <c r="D6" s="9">
        <f t="shared" si="1"/>
        <v>5</v>
      </c>
      <c r="E6" s="1" t="b">
        <f t="shared" si="2"/>
        <v>1</v>
      </c>
      <c r="G6" s="11" t="s">
        <v>19</v>
      </c>
      <c r="H6" s="41">
        <v>0</v>
      </c>
      <c r="I6" s="37"/>
      <c r="J6" s="37"/>
    </row>
    <row r="7" s="1" customFormat="1" spans="1:10">
      <c r="A7" s="6" t="s">
        <v>16</v>
      </c>
      <c r="B7" s="38">
        <v>37</v>
      </c>
      <c r="C7" s="39">
        <f t="shared" si="0"/>
        <v>97.8736</v>
      </c>
      <c r="D7" s="9">
        <f t="shared" si="1"/>
        <v>6</v>
      </c>
      <c r="E7" s="1" t="b">
        <f t="shared" si="2"/>
        <v>1</v>
      </c>
      <c r="G7" s="11" t="s">
        <v>21</v>
      </c>
      <c r="H7" s="42">
        <v>37.65</v>
      </c>
      <c r="I7" s="37"/>
      <c r="J7" s="37"/>
    </row>
    <row r="8" s="1" customFormat="1" spans="1:10">
      <c r="A8" s="6" t="s">
        <v>24</v>
      </c>
      <c r="B8" s="38">
        <v>37</v>
      </c>
      <c r="C8" s="39">
        <f t="shared" si="0"/>
        <v>97.8736</v>
      </c>
      <c r="D8" s="9">
        <f t="shared" si="1"/>
        <v>6</v>
      </c>
      <c r="E8" s="1" t="b">
        <f t="shared" si="2"/>
        <v>1</v>
      </c>
      <c r="G8" s="11" t="s">
        <v>23</v>
      </c>
      <c r="H8" s="43">
        <v>0.3</v>
      </c>
      <c r="I8" s="37"/>
      <c r="J8" s="37"/>
    </row>
    <row r="9" s="1" customFormat="1" spans="1:10">
      <c r="A9" s="6" t="s">
        <v>28</v>
      </c>
      <c r="B9" s="38">
        <v>33.9878</v>
      </c>
      <c r="C9" s="39">
        <f t="shared" si="0"/>
        <v>96.9061</v>
      </c>
      <c r="D9" s="9">
        <f t="shared" si="1"/>
        <v>8</v>
      </c>
      <c r="E9" s="1" t="b">
        <f t="shared" si="2"/>
        <v>1</v>
      </c>
      <c r="G9" s="3"/>
      <c r="H9" s="3"/>
      <c r="I9" s="37"/>
      <c r="J9" s="37"/>
    </row>
    <row r="10" s="1" customFormat="1" spans="1:10">
      <c r="A10" s="6" t="s">
        <v>10</v>
      </c>
      <c r="B10" s="38">
        <v>37.5</v>
      </c>
      <c r="C10" s="39">
        <f t="shared" si="0"/>
        <v>96.4935</v>
      </c>
      <c r="D10" s="9">
        <f t="shared" si="1"/>
        <v>9</v>
      </c>
      <c r="E10" s="1" t="b">
        <f t="shared" si="2"/>
        <v>1</v>
      </c>
      <c r="G10" s="3"/>
      <c r="H10" s="3"/>
      <c r="I10" s="37"/>
      <c r="J10" s="37"/>
    </row>
    <row r="11" s="1" customFormat="1" spans="1:10">
      <c r="A11" s="6" t="s">
        <v>12</v>
      </c>
      <c r="B11" s="38">
        <v>37.615</v>
      </c>
      <c r="C11" s="39">
        <f t="shared" si="0"/>
        <v>96.1761</v>
      </c>
      <c r="D11" s="9">
        <f t="shared" si="1"/>
        <v>10</v>
      </c>
      <c r="E11" s="1" t="b">
        <f t="shared" si="2"/>
        <v>1</v>
      </c>
      <c r="G11" s="5" t="s">
        <v>27</v>
      </c>
      <c r="H11" s="3"/>
      <c r="I11" s="37"/>
      <c r="J11" s="37"/>
    </row>
    <row r="12" s="1" customFormat="1" spans="1:10">
      <c r="A12" s="6" t="s">
        <v>14</v>
      </c>
      <c r="B12" s="38">
        <v>37.65</v>
      </c>
      <c r="C12" s="39">
        <f t="shared" si="0"/>
        <v>96.0795</v>
      </c>
      <c r="D12" s="9">
        <f t="shared" si="1"/>
        <v>11</v>
      </c>
      <c r="E12" s="1" t="b">
        <f t="shared" si="2"/>
        <v>1</v>
      </c>
      <c r="G12" s="11" t="s">
        <v>29</v>
      </c>
      <c r="H12" s="44">
        <f>COUNTA(B:B)-1</f>
        <v>11</v>
      </c>
    </row>
    <row r="13" s="1" customFormat="1" spans="1:10">
      <c r="A13" s="6"/>
      <c r="B13" s="38"/>
      <c r="C13" s="45"/>
      <c r="D13" s="9"/>
      <c r="G13" s="11" t="s">
        <v>31</v>
      </c>
      <c r="H13" s="46">
        <f>AVERAGEIF(B:B,"&lt;&gt;")</f>
        <v>36.2296181818182</v>
      </c>
    </row>
    <row r="14" s="1" customFormat="1" spans="1:10">
      <c r="A14" s="6"/>
      <c r="B14" s="38"/>
      <c r="C14" s="45"/>
      <c r="D14" s="9"/>
      <c r="G14" s="11" t="s">
        <v>33</v>
      </c>
      <c r="H14" s="47">
        <f>H$13*(1+H2)</f>
        <v>28.9836945454545</v>
      </c>
    </row>
    <row r="15" s="1" customFormat="1" spans="1:10">
      <c r="A15" s="6"/>
      <c r="B15" s="38"/>
      <c r="C15" s="45"/>
      <c r="D15" s="9"/>
      <c r="G15" s="11" t="s">
        <v>35</v>
      </c>
      <c r="H15" s="47">
        <f>H$13*(1+H3)</f>
        <v>41.6640609090909</v>
      </c>
    </row>
    <row r="16" s="1" customFormat="1" spans="1:10">
      <c r="A16" s="6"/>
      <c r="B16" s="38"/>
      <c r="C16" s="1"/>
      <c r="D16" s="9"/>
      <c r="G16" s="11" t="s">
        <v>37</v>
      </c>
      <c r="H16" s="47">
        <f>AVERAGEIF(E:E,TRUE,B:B)</f>
        <v>36.2296181818182</v>
      </c>
    </row>
    <row r="17" s="1" customFormat="1" spans="1:8">
      <c r="A17" s="6"/>
      <c r="B17" s="2"/>
      <c r="G17" s="11" t="s">
        <v>39</v>
      </c>
      <c r="H17" s="48">
        <f>H16*(1-H6)</f>
        <v>36.2296181818182</v>
      </c>
    </row>
    <row r="18" s="1" customFormat="1" spans="1:8">
      <c r="A18" s="6"/>
      <c r="B18" s="2"/>
      <c r="G18" s="17" t="s">
        <v>41</v>
      </c>
      <c r="H18" s="49">
        <f>H17/H7</f>
        <v>0.962274055293975</v>
      </c>
    </row>
    <row r="19" s="1" customFormat="1" spans="1:8">
      <c r="A19" s="6"/>
      <c r="B19" s="2"/>
      <c r="G19" s="3"/>
      <c r="H19" s="3"/>
    </row>
    <row r="20" s="1" customFormat="1" spans="1:8">
      <c r="A20" s="2"/>
      <c r="B20" s="2"/>
      <c r="G20" s="5" t="s">
        <v>44</v>
      </c>
      <c r="H20" s="3"/>
    </row>
    <row r="21" s="1" customFormat="1" spans="1:8">
      <c r="A21" s="2"/>
      <c r="B21" s="2"/>
      <c r="G21" s="19" t="s">
        <v>46</v>
      </c>
      <c r="H21" s="20" t="str">
        <f>IFERROR(VLOOKUP(G21,F:F,3,0),"")</f>
        <v/>
      </c>
    </row>
    <row r="22" s="1" customFormat="1" spans="1:8">
      <c r="A22" s="2"/>
      <c r="B22" s="2"/>
      <c r="G22" s="11" t="s">
        <v>48</v>
      </c>
      <c r="H22" s="11" t="str">
        <f>IFERROR(VLOOKUP(G$21,A:C,3,0),"")</f>
        <v/>
      </c>
    </row>
    <row r="23" s="1" customFormat="1" spans="1:8">
      <c r="A23" s="2"/>
      <c r="B23" s="2"/>
      <c r="G23" s="17" t="s">
        <v>50</v>
      </c>
      <c r="H23" s="17" t="str">
        <f>IFERROR(VLOOKUP(G$21,A:D,4,0),"")</f>
        <v/>
      </c>
    </row>
    <row r="24" s="1" customFormat="1" spans="1:8">
      <c r="A24" s="2"/>
      <c r="B24" s="2"/>
      <c r="G24" s="11" t="s">
        <v>52</v>
      </c>
      <c r="H24" s="22">
        <f t="array" ref="H24">MAX(C:C)</f>
        <v>99.2346</v>
      </c>
    </row>
    <row r="25" s="1" customFormat="1" spans="1:8">
      <c r="A25" s="2"/>
      <c r="B25" s="2"/>
      <c r="G25" s="11" t="s">
        <v>54</v>
      </c>
      <c r="H25" s="11" t="str">
        <f>IFERROR(H24-H22,"")</f>
        <v/>
      </c>
    </row>
    <row r="26" s="1" customFormat="1" spans="1:8">
      <c r="A26" s="2"/>
      <c r="B26" s="2"/>
      <c r="G26" s="17" t="s">
        <v>56</v>
      </c>
      <c r="H26" s="17" t="str">
        <f>IFERROR(H25*H8,"")</f>
        <v/>
      </c>
    </row>
    <row r="27" s="1" customFormat="1" spans="1:8">
      <c r="A27" s="2"/>
      <c r="B27" s="2"/>
    </row>
    <row r="28" s="1" customFormat="1" spans="1:8">
      <c r="A28" s="2"/>
      <c r="B28" s="2"/>
    </row>
    <row r="29" s="1" customFormat="1" spans="1:8">
      <c r="A29" s="2"/>
      <c r="B29" s="2"/>
    </row>
    <row r="30" s="1" customFormat="1" spans="1:8">
      <c r="A30" s="2"/>
      <c r="B30" s="2"/>
    </row>
    <row r="31" s="1" customFormat="1" spans="1:8">
      <c r="A31" s="2"/>
      <c r="B31" s="2"/>
    </row>
    <row r="32" s="1" customFormat="1" spans="1:8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  <row r="38" s="1" customFormat="1" spans="1:2">
      <c r="A38" s="2"/>
      <c r="B38" s="2"/>
    </row>
    <row r="39" s="1" customFormat="1" spans="1:2">
      <c r="A39" s="2"/>
      <c r="B39" s="2"/>
    </row>
    <row r="40" s="1" customFormat="1" spans="1:2">
      <c r="A40" s="2"/>
      <c r="B40" s="2"/>
    </row>
    <row r="41" s="1" customFormat="1" spans="1:2">
      <c r="A41" s="2"/>
      <c r="B41" s="2"/>
    </row>
    <row r="42" s="1" customFormat="1" spans="1:2">
      <c r="A42" s="2"/>
      <c r="B42" s="2"/>
    </row>
    <row r="43" s="1" customFormat="1" spans="1:2">
      <c r="A43" s="2"/>
      <c r="B43" s="2"/>
    </row>
    <row r="44" s="1" customFormat="1" spans="1:2">
      <c r="A44" s="2"/>
      <c r="B44" s="2"/>
    </row>
    <row r="45" s="1" customFormat="1" spans="1:2">
      <c r="A45" s="2"/>
      <c r="B45" s="2"/>
    </row>
    <row r="46" s="1" customFormat="1" spans="1:2">
      <c r="A46" s="2"/>
      <c r="B46" s="2"/>
    </row>
    <row r="47" s="1" customFormat="1" spans="1:2">
      <c r="A47" s="2"/>
      <c r="B47" s="2"/>
    </row>
    <row r="48" s="1" customFormat="1" spans="1:2">
      <c r="A48" s="2"/>
      <c r="B48" s="2"/>
    </row>
    <row r="49" s="1" customFormat="1" spans="1:2">
      <c r="A49" s="2"/>
      <c r="B49" s="2"/>
    </row>
    <row r="50" s="1" customFormat="1" spans="1:2">
      <c r="A50" s="2"/>
      <c r="B50" s="2"/>
    </row>
    <row r="51" s="1" customFormat="1" spans="1:2">
      <c r="A51" s="2"/>
      <c r="B51" s="2"/>
    </row>
    <row r="52" s="1" customFormat="1" spans="1:2">
      <c r="A52" s="2"/>
      <c r="B52" s="2"/>
    </row>
    <row r="53" s="1" customFormat="1" spans="1:2">
      <c r="A53" s="2"/>
      <c r="B53" s="2"/>
    </row>
    <row r="54" s="1" customFormat="1" spans="1:2">
      <c r="A54" s="2"/>
      <c r="B54" s="2"/>
    </row>
    <row r="55" s="1" customFormat="1" spans="1:2">
      <c r="A55" s="2"/>
      <c r="B55" s="2"/>
    </row>
    <row r="56" s="1" customFormat="1" spans="1:2">
      <c r="A56" s="2"/>
      <c r="B56" s="2"/>
    </row>
    <row r="57" s="1" customFormat="1" spans="1:2">
      <c r="A57" s="2"/>
      <c r="B57" s="2"/>
    </row>
    <row r="58" s="1" customFormat="1" spans="1:2">
      <c r="A58" s="2"/>
      <c r="B58" s="2"/>
    </row>
  </sheetData>
  <autoFilter xmlns:etc="http://www.wps.cn/officeDocument/2017/etCustomData" ref="A1:E12" etc:filterBottomFollowUsedRange="0">
    <sortState ref="A1:E12">
      <sortCondition ref="D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workbookViewId="0">
      <pane ySplit="25" topLeftCell="A26" activePane="bottomLeft" state="frozen"/>
      <selection/>
      <selection pane="bottomLeft" activeCell="A1" sqref="A1:B1"/>
    </sheetView>
  </sheetViews>
  <sheetFormatPr defaultColWidth="9.81818181818182" defaultRowHeight="14" outlineLevelCol="7"/>
  <cols>
    <col min="1" max="1" width="19.6363636363636" style="2" customWidth="1"/>
    <col min="2" max="2" width="16" style="2" customWidth="1"/>
    <col min="3" max="3" width="16" style="1" customWidth="1"/>
    <col min="4" max="4" width="9.97272727272727" style="9"/>
    <col min="5" max="5" width="9.81818181818182" style="1"/>
    <col min="6" max="6" width="10.6363636363636" style="1"/>
    <col min="7" max="7" width="23.5454545454545" style="1" customWidth="1"/>
    <col min="8" max="8" width="22.9090909090909" style="1" customWidth="1"/>
    <col min="9" max="16370" width="9.81818181818182" style="1"/>
    <col min="16371" max="16384" width="9.81818181818182" style="3"/>
  </cols>
  <sheetData>
    <row r="1" s="1" customFormat="1" ht="14.15" customHeight="1" spans="1:8">
      <c r="A1" s="24" t="s">
        <v>106</v>
      </c>
      <c r="B1" s="24" t="s">
        <v>115</v>
      </c>
      <c r="C1" s="4" t="s">
        <v>117</v>
      </c>
      <c r="D1" s="4" t="s">
        <v>6</v>
      </c>
      <c r="E1" s="4" t="s">
        <v>118</v>
      </c>
      <c r="F1" s="4"/>
      <c r="G1" s="5" t="s">
        <v>9</v>
      </c>
      <c r="H1" s="3"/>
    </row>
    <row r="2" s="1" customFormat="1" spans="1:8">
      <c r="A2" s="6" t="s">
        <v>34</v>
      </c>
      <c r="B2" s="30">
        <v>774.705513</v>
      </c>
      <c r="C2" s="31">
        <f>IF(B2="不开标",0,ROUND(100-100*IF(B2&gt;=H$16,H$4,H$5)*ABS(B2-H$16)/H$16,4))</f>
        <v>99.9783</v>
      </c>
      <c r="D2" s="9">
        <f>IF(B2="不开标","",_xlfn.RANK.EQ(C2,C:C,0))</f>
        <v>1</v>
      </c>
      <c r="E2" s="1" t="b">
        <f t="shared" ref="E2:E35" si="0">IF(B2="不开标",FALSE,IF(AND(B2&gt;H$13,B2&lt;H$14),TRUE,FALSE))</f>
        <v>1</v>
      </c>
      <c r="F2" s="32"/>
      <c r="G2" s="11" t="s">
        <v>119</v>
      </c>
      <c r="H2" s="33">
        <v>-0.2</v>
      </c>
    </row>
    <row r="3" s="1" customFormat="1" spans="1:8">
      <c r="A3" s="6" t="s">
        <v>36</v>
      </c>
      <c r="B3" s="30">
        <v>774.683239</v>
      </c>
      <c r="C3" s="31">
        <f t="shared" ref="C3:C35" si="1">IF(B3="不开标",0,ROUND(100-100*IF(B3&gt;=H$16,H$4,H$5)*ABS(B3-H$16)/H$16,4))</f>
        <v>99.9768</v>
      </c>
      <c r="D3" s="9">
        <f t="shared" ref="D3:D35" si="2">IF(B3="不开标","",_xlfn.RANK.EQ(C3,C:C,0))</f>
        <v>2</v>
      </c>
      <c r="E3" s="1" t="b">
        <f t="shared" si="0"/>
        <v>1</v>
      </c>
      <c r="F3" s="32"/>
      <c r="G3" s="11" t="s">
        <v>120</v>
      </c>
      <c r="H3" s="33">
        <v>0.15</v>
      </c>
    </row>
    <row r="4" s="1" customFormat="1" spans="1:8">
      <c r="A4" s="6" t="s">
        <v>32</v>
      </c>
      <c r="B4" s="30">
        <v>775.3382</v>
      </c>
      <c r="C4" s="31">
        <f t="shared" si="1"/>
        <v>99.9618</v>
      </c>
      <c r="D4" s="9">
        <f t="shared" si="2"/>
        <v>3</v>
      </c>
      <c r="E4" s="1" t="b">
        <f t="shared" si="0"/>
        <v>1</v>
      </c>
      <c r="F4" s="32"/>
      <c r="G4" s="11" t="s">
        <v>15</v>
      </c>
      <c r="H4" s="27">
        <v>1</v>
      </c>
    </row>
    <row r="5" s="1" customFormat="1" spans="1:8">
      <c r="A5" s="6" t="s">
        <v>30</v>
      </c>
      <c r="B5" s="30">
        <v>775.43446</v>
      </c>
      <c r="C5" s="31">
        <f t="shared" si="1"/>
        <v>99.9494</v>
      </c>
      <c r="D5" s="9">
        <f t="shared" si="2"/>
        <v>4</v>
      </c>
      <c r="E5" s="1" t="b">
        <f t="shared" si="0"/>
        <v>1</v>
      </c>
      <c r="F5" s="32"/>
      <c r="G5" s="11" t="s">
        <v>17</v>
      </c>
      <c r="H5" s="27">
        <v>0.5</v>
      </c>
    </row>
    <row r="6" s="1" customFormat="1" spans="1:8">
      <c r="A6" s="6" t="s">
        <v>40</v>
      </c>
      <c r="B6" s="30">
        <v>772.7392</v>
      </c>
      <c r="C6" s="31">
        <f t="shared" si="1"/>
        <v>99.8514</v>
      </c>
      <c r="D6" s="9">
        <f t="shared" si="2"/>
        <v>5</v>
      </c>
      <c r="E6" s="1" t="b">
        <f t="shared" si="0"/>
        <v>1</v>
      </c>
      <c r="F6" s="32"/>
      <c r="G6" s="25" t="s">
        <v>19</v>
      </c>
      <c r="H6" s="34">
        <v>0</v>
      </c>
    </row>
    <row r="7" s="1" customFormat="1" spans="1:8">
      <c r="A7" s="6" t="s">
        <v>42</v>
      </c>
      <c r="B7" s="30">
        <v>772.331044</v>
      </c>
      <c r="C7" s="31">
        <f t="shared" si="1"/>
        <v>99.8251</v>
      </c>
      <c r="D7" s="9">
        <f t="shared" si="2"/>
        <v>6</v>
      </c>
      <c r="E7" s="1" t="b">
        <f t="shared" si="0"/>
        <v>1</v>
      </c>
      <c r="F7" s="32"/>
      <c r="G7" s="11" t="s">
        <v>21</v>
      </c>
      <c r="H7" s="19">
        <v>785.165309677</v>
      </c>
    </row>
    <row r="8" s="1" customFormat="1" spans="1:8">
      <c r="A8" s="6" t="s">
        <v>45</v>
      </c>
      <c r="B8" s="30">
        <v>770.675005</v>
      </c>
      <c r="C8" s="31">
        <f t="shared" si="1"/>
        <v>99.7183</v>
      </c>
      <c r="D8" s="9">
        <f t="shared" si="2"/>
        <v>7</v>
      </c>
      <c r="E8" s="1" t="b">
        <f t="shared" si="0"/>
        <v>1</v>
      </c>
      <c r="F8" s="32"/>
      <c r="G8" s="11" t="s">
        <v>23</v>
      </c>
      <c r="H8" s="35">
        <v>0.3</v>
      </c>
    </row>
    <row r="9" s="1" customFormat="1" spans="1:8">
      <c r="A9" s="6" t="s">
        <v>47</v>
      </c>
      <c r="B9" s="30">
        <v>770.0837</v>
      </c>
      <c r="C9" s="31">
        <f t="shared" si="1"/>
        <v>99.6801</v>
      </c>
      <c r="D9" s="9">
        <f t="shared" si="2"/>
        <v>8</v>
      </c>
      <c r="E9" s="1" t="b">
        <f t="shared" si="0"/>
        <v>1</v>
      </c>
      <c r="F9" s="32"/>
    </row>
    <row r="10" s="1" customFormat="1" spans="1:8">
      <c r="A10" s="6" t="s">
        <v>14</v>
      </c>
      <c r="B10" s="30">
        <v>778.129412</v>
      </c>
      <c r="C10" s="31">
        <f t="shared" si="1"/>
        <v>99.6017</v>
      </c>
      <c r="D10" s="9">
        <f t="shared" si="2"/>
        <v>9</v>
      </c>
      <c r="E10" s="1" t="b">
        <f t="shared" si="0"/>
        <v>1</v>
      </c>
      <c r="F10" s="32"/>
      <c r="G10" s="5" t="s">
        <v>27</v>
      </c>
      <c r="H10" s="3"/>
    </row>
    <row r="11" s="1" customFormat="1" spans="1:8">
      <c r="A11" s="6" t="s">
        <v>10</v>
      </c>
      <c r="B11" s="30">
        <v>778.700007</v>
      </c>
      <c r="C11" s="31">
        <f t="shared" si="1"/>
        <v>99.5281</v>
      </c>
      <c r="D11" s="9">
        <f t="shared" si="2"/>
        <v>10</v>
      </c>
      <c r="E11" s="1" t="b">
        <f t="shared" si="0"/>
        <v>1</v>
      </c>
      <c r="F11" s="32"/>
      <c r="G11" s="11" t="s">
        <v>29</v>
      </c>
      <c r="H11" s="15">
        <f>COUNTA(B:B)-1</f>
        <v>34</v>
      </c>
    </row>
    <row r="12" s="1" customFormat="1" spans="1:8">
      <c r="A12" s="6" t="s">
        <v>51</v>
      </c>
      <c r="B12" s="30">
        <v>767.077109</v>
      </c>
      <c r="C12" s="31">
        <f t="shared" si="1"/>
        <v>99.4861</v>
      </c>
      <c r="D12" s="9">
        <f t="shared" si="2"/>
        <v>11</v>
      </c>
      <c r="E12" s="1" t="b">
        <f t="shared" si="0"/>
        <v>1</v>
      </c>
      <c r="F12" s="32"/>
      <c r="G12" s="11" t="s">
        <v>121</v>
      </c>
      <c r="H12" s="16">
        <f>AVERAGEIF(B:B,"&lt;&gt;")</f>
        <v>775.042254264706</v>
      </c>
    </row>
    <row r="13" s="1" customFormat="1" spans="1:8">
      <c r="A13" s="6" t="s">
        <v>12</v>
      </c>
      <c r="B13" s="30">
        <v>779.09659</v>
      </c>
      <c r="C13" s="31">
        <f t="shared" si="1"/>
        <v>99.4769</v>
      </c>
      <c r="D13" s="9">
        <f t="shared" si="2"/>
        <v>12</v>
      </c>
      <c r="E13" s="1" t="b">
        <f t="shared" si="0"/>
        <v>1</v>
      </c>
      <c r="F13" s="32"/>
      <c r="G13" s="11" t="s">
        <v>33</v>
      </c>
      <c r="H13" s="36">
        <f>H$12*(1+H2)</f>
        <v>620.033803411765</v>
      </c>
    </row>
    <row r="14" s="1" customFormat="1" spans="1:8">
      <c r="A14" s="6" t="s">
        <v>16</v>
      </c>
      <c r="B14" s="30">
        <v>779.2932</v>
      </c>
      <c r="C14" s="31">
        <f t="shared" si="1"/>
        <v>99.4515</v>
      </c>
      <c r="D14" s="9">
        <f t="shared" si="2"/>
        <v>13</v>
      </c>
      <c r="E14" s="1" t="b">
        <f t="shared" si="0"/>
        <v>1</v>
      </c>
      <c r="F14" s="32"/>
      <c r="G14" s="11" t="s">
        <v>35</v>
      </c>
      <c r="H14" s="36">
        <f>H$12*(1+H3)</f>
        <v>891.298592404412</v>
      </c>
    </row>
    <row r="15" s="1" customFormat="1" spans="1:8">
      <c r="A15" s="6" t="s">
        <v>18</v>
      </c>
      <c r="B15" s="30">
        <v>779.361701</v>
      </c>
      <c r="C15" s="31">
        <f t="shared" si="1"/>
        <v>99.4427</v>
      </c>
      <c r="D15" s="9">
        <f t="shared" si="2"/>
        <v>14</v>
      </c>
      <c r="E15" s="1" t="b">
        <f t="shared" si="0"/>
        <v>1</v>
      </c>
      <c r="F15" s="32"/>
      <c r="G15" s="25" t="str">
        <f>IF(COUNTA(E:E)-1=H11,"A3","A4")</f>
        <v>A3</v>
      </c>
      <c r="H15" s="16">
        <f>IF(G15=A3,H12,AVERAGEIF(E:E,TRUE,B:B))</f>
        <v>775.042254264706</v>
      </c>
    </row>
    <row r="16" s="1" customFormat="1" spans="1:8">
      <c r="A16" s="6" t="s">
        <v>20</v>
      </c>
      <c r="B16" s="30">
        <v>779.380005</v>
      </c>
      <c r="C16" s="31">
        <f t="shared" si="1"/>
        <v>99.4403</v>
      </c>
      <c r="D16" s="9">
        <f t="shared" si="2"/>
        <v>15</v>
      </c>
      <c r="E16" s="1" t="b">
        <f t="shared" si="0"/>
        <v>1</v>
      </c>
      <c r="F16" s="32"/>
      <c r="G16" s="11" t="s">
        <v>122</v>
      </c>
      <c r="H16" s="15">
        <f>H15*(1+H6)</f>
        <v>775.042254264706</v>
      </c>
    </row>
    <row r="17" s="1" customFormat="1" spans="1:8">
      <c r="A17" s="6" t="s">
        <v>22</v>
      </c>
      <c r="B17" s="30">
        <v>779.4175</v>
      </c>
      <c r="C17" s="31">
        <f t="shared" si="1"/>
        <v>99.4355</v>
      </c>
      <c r="D17" s="9">
        <f t="shared" si="2"/>
        <v>16</v>
      </c>
      <c r="E17" s="1" t="b">
        <f t="shared" si="0"/>
        <v>1</v>
      </c>
      <c r="F17" s="32"/>
      <c r="G17" s="17" t="s">
        <v>41</v>
      </c>
      <c r="H17" s="18">
        <f>H16/H7</f>
        <v>0.98710710306794</v>
      </c>
    </row>
    <row r="18" s="1" customFormat="1" spans="1:8">
      <c r="A18" s="6" t="s">
        <v>24</v>
      </c>
      <c r="B18" s="30">
        <v>779.473135</v>
      </c>
      <c r="C18" s="31">
        <f t="shared" si="1"/>
        <v>99.4283</v>
      </c>
      <c r="D18" s="9">
        <f t="shared" si="2"/>
        <v>17</v>
      </c>
      <c r="E18" s="1" t="b">
        <f t="shared" si="0"/>
        <v>1</v>
      </c>
      <c r="F18" s="32"/>
      <c r="G18" s="3"/>
      <c r="H18" s="3"/>
    </row>
    <row r="19" s="1" customFormat="1" spans="1:8">
      <c r="A19" s="6" t="s">
        <v>25</v>
      </c>
      <c r="B19" s="30">
        <v>779.495679</v>
      </c>
      <c r="C19" s="31">
        <f t="shared" si="1"/>
        <v>99.4254</v>
      </c>
      <c r="D19" s="9">
        <f t="shared" si="2"/>
        <v>18</v>
      </c>
      <c r="E19" s="1" t="b">
        <f t="shared" si="0"/>
        <v>1</v>
      </c>
      <c r="F19" s="32"/>
      <c r="G19" s="5" t="s">
        <v>44</v>
      </c>
      <c r="H19" s="3"/>
    </row>
    <row r="20" s="1" customFormat="1" spans="1:8">
      <c r="A20" s="6" t="s">
        <v>26</v>
      </c>
      <c r="B20" s="30">
        <v>779.847797</v>
      </c>
      <c r="C20" s="31">
        <f t="shared" si="1"/>
        <v>99.38</v>
      </c>
      <c r="D20" s="9">
        <f t="shared" si="2"/>
        <v>19</v>
      </c>
      <c r="E20" s="1" t="b">
        <f t="shared" si="0"/>
        <v>1</v>
      </c>
      <c r="F20" s="32"/>
      <c r="G20" s="19" t="s">
        <v>46</v>
      </c>
      <c r="H20" s="20" t="str">
        <f>IFERROR(VLOOKUP(G20,#REF!,3,0),"")</f>
        <v/>
      </c>
    </row>
    <row r="21" s="1" customFormat="1" spans="1:8">
      <c r="A21" s="6" t="s">
        <v>57</v>
      </c>
      <c r="B21" s="30">
        <v>765.3264</v>
      </c>
      <c r="C21" s="31">
        <f t="shared" si="1"/>
        <v>99.3732</v>
      </c>
      <c r="D21" s="9">
        <f t="shared" si="2"/>
        <v>20</v>
      </c>
      <c r="E21" s="1" t="b">
        <f t="shared" si="0"/>
        <v>1</v>
      </c>
      <c r="F21" s="32"/>
      <c r="G21" s="11" t="s">
        <v>48</v>
      </c>
      <c r="H21" s="11" t="str">
        <f>IFERROR(VLOOKUP(G$20,A:C,3,0),"")</f>
        <v/>
      </c>
    </row>
    <row r="22" s="1" customFormat="1" spans="1:8">
      <c r="A22" s="6" t="s">
        <v>58</v>
      </c>
      <c r="B22" s="30">
        <v>765.293152</v>
      </c>
      <c r="C22" s="31">
        <f t="shared" si="1"/>
        <v>99.3711</v>
      </c>
      <c r="D22" s="9">
        <f t="shared" si="2"/>
        <v>21</v>
      </c>
      <c r="E22" s="1" t="b">
        <f t="shared" si="0"/>
        <v>1</v>
      </c>
      <c r="F22" s="32"/>
      <c r="G22" s="17" t="s">
        <v>50</v>
      </c>
      <c r="H22" s="17" t="str">
        <f>IFERROR(VLOOKUP(G$20,A:D,4,0),"")</f>
        <v/>
      </c>
    </row>
    <row r="23" s="1" customFormat="1" spans="1:8">
      <c r="A23" s="6" t="s">
        <v>28</v>
      </c>
      <c r="B23" s="30">
        <v>780.3102</v>
      </c>
      <c r="C23" s="31">
        <f t="shared" si="1"/>
        <v>99.3203</v>
      </c>
      <c r="D23" s="9">
        <f t="shared" si="2"/>
        <v>22</v>
      </c>
      <c r="E23" s="1" t="b">
        <f t="shared" si="0"/>
        <v>1</v>
      </c>
      <c r="F23" s="32"/>
      <c r="G23" s="11" t="s">
        <v>52</v>
      </c>
      <c r="H23" s="22">
        <f t="array" ref="H23">MAX(C:C)</f>
        <v>99.9783</v>
      </c>
    </row>
    <row r="24" s="1" customFormat="1" spans="1:8">
      <c r="A24" s="6" t="s">
        <v>59</v>
      </c>
      <c r="B24" s="30">
        <v>763.299997</v>
      </c>
      <c r="C24" s="31">
        <f t="shared" si="1"/>
        <v>99.2425</v>
      </c>
      <c r="D24" s="9">
        <f t="shared" si="2"/>
        <v>23</v>
      </c>
      <c r="E24" s="1" t="b">
        <f t="shared" si="0"/>
        <v>1</v>
      </c>
      <c r="F24" s="32"/>
      <c r="G24" s="11" t="s">
        <v>54</v>
      </c>
      <c r="H24" s="11" t="str">
        <f>IFERROR(H23-H21,"")</f>
        <v/>
      </c>
    </row>
    <row r="25" s="1" customFormat="1" spans="1:8">
      <c r="A25" s="6" t="s">
        <v>38</v>
      </c>
      <c r="B25" s="30">
        <v>781.069108</v>
      </c>
      <c r="C25" s="31">
        <f t="shared" si="1"/>
        <v>99.2224</v>
      </c>
      <c r="D25" s="9">
        <f t="shared" si="2"/>
        <v>24</v>
      </c>
      <c r="E25" s="1" t="b">
        <f t="shared" si="0"/>
        <v>1</v>
      </c>
      <c r="F25" s="32"/>
      <c r="G25" s="17" t="s">
        <v>56</v>
      </c>
      <c r="H25" s="17" t="str">
        <f>IFERROR(H24*H8,"")</f>
        <v/>
      </c>
    </row>
    <row r="26" s="1" customFormat="1" spans="1:8">
      <c r="A26" s="6" t="s">
        <v>61</v>
      </c>
      <c r="B26" s="30">
        <v>762.050749</v>
      </c>
      <c r="C26" s="31">
        <f t="shared" si="1"/>
        <v>99.1619</v>
      </c>
      <c r="D26" s="9">
        <f t="shared" si="2"/>
        <v>25</v>
      </c>
      <c r="E26" s="1" t="b">
        <f t="shared" si="0"/>
        <v>1</v>
      </c>
      <c r="F26" s="32"/>
    </row>
    <row r="27" s="1" customFormat="1" spans="1:8">
      <c r="A27" s="6" t="s">
        <v>62</v>
      </c>
      <c r="B27" s="30">
        <v>760.596672</v>
      </c>
      <c r="C27" s="31">
        <f t="shared" si="1"/>
        <v>99.0681</v>
      </c>
      <c r="D27" s="9">
        <f t="shared" si="2"/>
        <v>26</v>
      </c>
      <c r="E27" s="1" t="b">
        <f t="shared" si="0"/>
        <v>1</v>
      </c>
      <c r="F27" s="32"/>
    </row>
    <row r="28" s="1" customFormat="1" spans="1:8">
      <c r="A28" s="6" t="s">
        <v>63</v>
      </c>
      <c r="B28" s="30">
        <v>760.4335</v>
      </c>
      <c r="C28" s="31">
        <f t="shared" si="1"/>
        <v>99.0576</v>
      </c>
      <c r="D28" s="9">
        <f t="shared" si="2"/>
        <v>27</v>
      </c>
      <c r="E28" s="1" t="b">
        <f t="shared" si="0"/>
        <v>1</v>
      </c>
      <c r="F28" s="32"/>
    </row>
    <row r="29" s="1" customFormat="1" spans="1:8">
      <c r="A29" s="6" t="s">
        <v>43</v>
      </c>
      <c r="B29" s="30">
        <v>782.382846</v>
      </c>
      <c r="C29" s="31">
        <f t="shared" si="1"/>
        <v>99.0529</v>
      </c>
      <c r="D29" s="9">
        <f t="shared" si="2"/>
        <v>28</v>
      </c>
      <c r="E29" s="1" t="b">
        <f t="shared" si="0"/>
        <v>1</v>
      </c>
      <c r="F29" s="32"/>
    </row>
    <row r="30" s="1" customFormat="1" spans="1:8">
      <c r="A30" s="6" t="s">
        <v>49</v>
      </c>
      <c r="B30" s="30">
        <v>783.994</v>
      </c>
      <c r="C30" s="31">
        <f t="shared" si="1"/>
        <v>98.845</v>
      </c>
      <c r="D30" s="9">
        <f t="shared" si="2"/>
        <v>29</v>
      </c>
      <c r="E30" s="1" t="b">
        <f t="shared" si="0"/>
        <v>1</v>
      </c>
      <c r="F30" s="32"/>
    </row>
    <row r="31" s="1" customFormat="1" spans="1:8">
      <c r="A31" s="6" t="s">
        <v>65</v>
      </c>
      <c r="B31" s="30">
        <v>755.906268</v>
      </c>
      <c r="C31" s="31">
        <f t="shared" si="1"/>
        <v>98.7655</v>
      </c>
      <c r="D31" s="9">
        <f t="shared" si="2"/>
        <v>30</v>
      </c>
      <c r="E31" s="1" t="b">
        <f t="shared" si="0"/>
        <v>1</v>
      </c>
      <c r="F31" s="32"/>
    </row>
    <row r="32" s="1" customFormat="1" spans="1:8">
      <c r="A32" s="6" t="s">
        <v>53</v>
      </c>
      <c r="B32" s="30">
        <v>784.823872</v>
      </c>
      <c r="C32" s="31">
        <f t="shared" si="1"/>
        <v>98.7379</v>
      </c>
      <c r="D32" s="9">
        <f t="shared" si="2"/>
        <v>31</v>
      </c>
      <c r="E32" s="1" t="b">
        <f t="shared" si="0"/>
        <v>1</v>
      </c>
      <c r="F32" s="32"/>
    </row>
    <row r="33" s="1" customFormat="1" spans="1:6">
      <c r="A33" s="6" t="s">
        <v>55</v>
      </c>
      <c r="B33" s="30">
        <v>785.35</v>
      </c>
      <c r="C33" s="31">
        <f t="shared" si="1"/>
        <v>98.67</v>
      </c>
      <c r="D33" s="9">
        <f t="shared" si="2"/>
        <v>32</v>
      </c>
      <c r="E33" s="1" t="b">
        <f t="shared" si="0"/>
        <v>1</v>
      </c>
      <c r="F33" s="32"/>
    </row>
    <row r="34" s="1" customFormat="1" spans="1:6">
      <c r="A34" s="6" t="s">
        <v>60</v>
      </c>
      <c r="B34" s="30">
        <v>786.619985</v>
      </c>
      <c r="C34" s="31">
        <f t="shared" si="1"/>
        <v>98.5062</v>
      </c>
      <c r="D34" s="9">
        <f t="shared" si="2"/>
        <v>33</v>
      </c>
      <c r="E34" s="1" t="b">
        <f t="shared" si="0"/>
        <v>1</v>
      </c>
      <c r="F34" s="32"/>
    </row>
    <row r="35" s="1" customFormat="1" spans="1:6">
      <c r="A35" s="6" t="s">
        <v>64</v>
      </c>
      <c r="B35" s="30">
        <v>788.7174</v>
      </c>
      <c r="C35" s="31">
        <f t="shared" si="1"/>
        <v>98.2356</v>
      </c>
      <c r="D35" s="9">
        <f t="shared" si="2"/>
        <v>34</v>
      </c>
      <c r="E35" s="1" t="b">
        <f t="shared" si="0"/>
        <v>1</v>
      </c>
      <c r="F35" s="32"/>
    </row>
    <row r="36" s="1" customFormat="1" spans="1:6">
      <c r="A36" s="2"/>
      <c r="B36" s="2"/>
      <c r="D36" s="9"/>
    </row>
    <row r="37" s="1" customFormat="1" spans="1:6">
      <c r="A37" s="2"/>
      <c r="B37" s="2"/>
      <c r="D37" s="9"/>
    </row>
    <row r="38" s="1" customFormat="1" spans="1:6">
      <c r="A38" s="2"/>
      <c r="B38" s="2"/>
      <c r="D38" s="9"/>
    </row>
    <row r="39" s="1" customFormat="1" spans="1:6">
      <c r="A39" s="2"/>
      <c r="B39" s="2"/>
      <c r="D39" s="9"/>
    </row>
    <row r="40" s="1" customFormat="1" spans="1:6">
      <c r="A40" s="2"/>
      <c r="B40" s="2"/>
      <c r="D40" s="9"/>
    </row>
    <row r="41" s="1" customFormat="1" spans="1:6">
      <c r="A41" s="2"/>
      <c r="B41" s="2"/>
      <c r="D41" s="9"/>
    </row>
    <row r="42" s="1" customFormat="1" spans="1:6">
      <c r="A42" s="2"/>
      <c r="B42" s="2"/>
      <c r="D42" s="9"/>
    </row>
    <row r="43" s="1" customFormat="1" spans="1:6">
      <c r="A43" s="2"/>
      <c r="B43" s="2"/>
      <c r="D43" s="9"/>
    </row>
    <row r="44" s="1" customFormat="1" spans="1:6">
      <c r="A44" s="2"/>
      <c r="B44" s="2"/>
      <c r="D44" s="9"/>
    </row>
    <row r="45" s="1" customFormat="1" spans="1:6">
      <c r="A45" s="2"/>
      <c r="B45" s="2"/>
      <c r="D45" s="9"/>
    </row>
    <row r="46" s="1" customFormat="1" spans="1:6">
      <c r="A46" s="2"/>
      <c r="B46" s="2"/>
      <c r="D46" s="9"/>
    </row>
    <row r="47" s="1" customFormat="1" spans="1:6">
      <c r="A47" s="2"/>
      <c r="B47" s="2"/>
      <c r="D47" s="9"/>
    </row>
    <row r="48" s="1" customFormat="1" spans="1:6">
      <c r="A48" s="2"/>
      <c r="B48" s="2"/>
      <c r="D48" s="9"/>
    </row>
    <row r="49" s="1" customFormat="1" spans="1:4">
      <c r="A49" s="2"/>
      <c r="B49" s="2"/>
      <c r="D49" s="9"/>
    </row>
    <row r="50" s="1" customFormat="1" spans="1:4">
      <c r="A50" s="2"/>
      <c r="B50" s="2"/>
      <c r="D50" s="9"/>
    </row>
    <row r="51" s="1" customFormat="1" spans="1:4">
      <c r="A51" s="2"/>
      <c r="B51" s="2"/>
      <c r="D51" s="9"/>
    </row>
    <row r="52" s="1" customFormat="1" spans="1:4">
      <c r="A52" s="2"/>
      <c r="B52" s="2"/>
      <c r="D52" s="9"/>
    </row>
    <row r="53" s="1" customFormat="1" spans="1:4">
      <c r="A53" s="2"/>
      <c r="B53" s="2"/>
      <c r="D53" s="9"/>
    </row>
    <row r="54" s="1" customFormat="1" spans="1:4">
      <c r="A54" s="2"/>
      <c r="B54" s="2"/>
      <c r="D54" s="9"/>
    </row>
    <row r="55" s="1" customFormat="1" spans="1:4">
      <c r="A55" s="2"/>
      <c r="B55" s="2"/>
      <c r="D55" s="9"/>
    </row>
    <row r="56" s="1" customFormat="1" spans="1:4">
      <c r="A56" s="2"/>
      <c r="B56" s="2"/>
      <c r="D56" s="9"/>
    </row>
    <row r="57" s="1" customFormat="1" spans="1:4">
      <c r="A57" s="2"/>
      <c r="B57" s="2"/>
      <c r="D57" s="9"/>
    </row>
    <row r="58" s="1" customFormat="1" spans="1:4">
      <c r="A58" s="2"/>
      <c r="B58" s="2"/>
      <c r="D58" s="9"/>
    </row>
    <row r="59" s="1" customFormat="1" spans="1:4">
      <c r="A59" s="2"/>
      <c r="B59" s="2"/>
      <c r="D59" s="9"/>
    </row>
    <row r="60" s="1" customFormat="1" spans="1:4">
      <c r="A60" s="2"/>
      <c r="B60" s="2"/>
      <c r="D60" s="9"/>
    </row>
    <row r="61" s="1" customFormat="1" spans="1:4">
      <c r="A61" s="2"/>
      <c r="B61" s="2"/>
      <c r="D61" s="9"/>
    </row>
    <row r="62" s="1" customFormat="1" spans="1:4">
      <c r="A62" s="2"/>
      <c r="B62" s="2"/>
      <c r="D62" s="9"/>
    </row>
    <row r="63" s="1" customFormat="1" spans="1:4">
      <c r="A63" s="2"/>
      <c r="B63" s="2"/>
      <c r="D63" s="9"/>
    </row>
    <row r="64" s="1" customFormat="1" spans="1:4">
      <c r="A64" s="2"/>
      <c r="B64" s="2"/>
      <c r="D64" s="9"/>
    </row>
    <row r="65" s="1" customFormat="1" spans="1:4">
      <c r="A65" s="2"/>
      <c r="B65" s="2"/>
      <c r="D65" s="9"/>
    </row>
    <row r="66" s="1" customFormat="1" spans="1:4">
      <c r="A66" s="2"/>
      <c r="B66" s="2"/>
      <c r="D66" s="9"/>
    </row>
    <row r="67" s="1" customFormat="1" spans="1:4">
      <c r="A67" s="2"/>
      <c r="B67" s="2"/>
      <c r="D67" s="9"/>
    </row>
    <row r="68" s="1" customFormat="1" spans="1:4">
      <c r="A68" s="2"/>
      <c r="B68" s="2"/>
      <c r="D68" s="9"/>
    </row>
    <row r="69" s="1" customFormat="1" spans="1:4">
      <c r="A69" s="2"/>
      <c r="B69" s="2"/>
      <c r="D69" s="9"/>
    </row>
    <row r="70" s="1" customFormat="1" spans="1:4">
      <c r="A70" s="2"/>
      <c r="B70" s="2"/>
      <c r="D70" s="9"/>
    </row>
    <row r="71" s="1" customFormat="1" spans="1:4">
      <c r="A71" s="2"/>
      <c r="B71" s="2"/>
      <c r="D71" s="9"/>
    </row>
    <row r="72" s="1" customFormat="1" spans="1:4">
      <c r="A72" s="2"/>
      <c r="B72" s="2"/>
      <c r="D72" s="9"/>
    </row>
    <row r="73" s="1" customFormat="1" spans="1:4">
      <c r="A73" s="2"/>
      <c r="B73" s="2"/>
      <c r="D73" s="9"/>
    </row>
    <row r="74" s="1" customFormat="1" spans="1:4">
      <c r="A74" s="2"/>
      <c r="B74" s="2"/>
      <c r="D74" s="9"/>
    </row>
    <row r="75" s="1" customFormat="1" spans="1:4">
      <c r="A75" s="2"/>
      <c r="B75" s="2"/>
      <c r="D75" s="9"/>
    </row>
    <row r="76" s="1" customFormat="1" spans="1:4">
      <c r="A76" s="2"/>
      <c r="B76" s="2"/>
      <c r="D76" s="9"/>
    </row>
    <row r="77" s="1" customFormat="1" spans="1:4">
      <c r="A77" s="2"/>
      <c r="B77" s="2"/>
      <c r="D77" s="9"/>
    </row>
    <row r="78" s="1" customFormat="1" spans="1:4">
      <c r="A78" s="2"/>
      <c r="B78" s="2"/>
      <c r="D78" s="9"/>
    </row>
    <row r="79" s="1" customFormat="1" spans="1:4">
      <c r="A79" s="2"/>
      <c r="B79" s="2"/>
      <c r="D79" s="9"/>
    </row>
    <row r="80" s="1" customFormat="1" spans="1:4">
      <c r="A80" s="2"/>
      <c r="B80" s="2"/>
      <c r="D80" s="9"/>
    </row>
    <row r="81" s="1" customFormat="1" spans="1:4">
      <c r="A81" s="2"/>
      <c r="B81" s="2"/>
      <c r="D81" s="9"/>
    </row>
    <row r="82" s="1" customFormat="1" spans="1:4">
      <c r="A82" s="2"/>
      <c r="B82" s="2"/>
      <c r="D82" s="9"/>
    </row>
    <row r="83" s="1" customFormat="1" spans="1:4">
      <c r="A83" s="2"/>
      <c r="B83" s="2"/>
      <c r="D83" s="9"/>
    </row>
    <row r="84" s="1" customFormat="1" spans="1:4">
      <c r="A84" s="2"/>
      <c r="B84" s="2"/>
      <c r="D84" s="9"/>
    </row>
    <row r="85" s="1" customFormat="1" spans="1:4">
      <c r="A85" s="2"/>
      <c r="B85" s="2"/>
      <c r="D85" s="9"/>
    </row>
    <row r="86" s="1" customFormat="1" spans="1:4">
      <c r="A86" s="2"/>
      <c r="B86" s="2"/>
      <c r="D86" s="9"/>
    </row>
    <row r="87" s="1" customFormat="1" spans="1:4">
      <c r="A87" s="2"/>
      <c r="B87" s="2"/>
      <c r="D87" s="9"/>
    </row>
    <row r="88" s="1" customFormat="1" spans="1:4">
      <c r="A88" s="2"/>
      <c r="B88" s="2"/>
      <c r="D88" s="9"/>
    </row>
    <row r="89" s="1" customFormat="1" spans="1:4">
      <c r="A89" s="2"/>
      <c r="B89" s="2"/>
      <c r="D89" s="9"/>
    </row>
    <row r="90" s="1" customFormat="1" spans="1:4">
      <c r="A90" s="2"/>
      <c r="B90" s="2"/>
      <c r="D90" s="9"/>
    </row>
    <row r="91" s="1" customFormat="1" spans="1:4">
      <c r="A91" s="2"/>
      <c r="B91" s="2"/>
      <c r="D91" s="9"/>
    </row>
    <row r="92" s="1" customFormat="1" spans="1:4">
      <c r="A92" s="2"/>
      <c r="B92" s="2"/>
      <c r="D92" s="9"/>
    </row>
    <row r="93" s="1" customFormat="1" spans="1:4">
      <c r="A93" s="2"/>
      <c r="B93" s="2"/>
      <c r="D93" s="9"/>
    </row>
    <row r="94" s="1" customFormat="1" spans="1:4">
      <c r="A94" s="2"/>
      <c r="B94" s="2"/>
      <c r="D94" s="9"/>
    </row>
    <row r="95" s="1" customFormat="1" spans="1:4">
      <c r="A95" s="2"/>
      <c r="B95" s="2"/>
      <c r="D95" s="9"/>
    </row>
  </sheetData>
  <autoFilter xmlns:etc="http://www.wps.cn/officeDocument/2017/etCustomData" ref="A1:E35" etc:filterBottomFollowUsedRange="0">
    <sortState ref="A1:E35">
      <sortCondition ref="D1"/>
    </sortState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workbookViewId="0">
      <pane ySplit="10" topLeftCell="A11" activePane="bottomLeft" state="frozen"/>
      <selection/>
      <selection pane="bottomLeft" activeCell="A1" sqref="A1:B1"/>
    </sheetView>
  </sheetViews>
  <sheetFormatPr defaultColWidth="9.81818181818182" defaultRowHeight="14" outlineLevelCol="6"/>
  <cols>
    <col min="1" max="1" width="21.0909090909091" style="2" customWidth="1"/>
    <col min="2" max="2" width="11.3727272727273" style="2" customWidth="1"/>
    <col min="3" max="3" width="10.6363636363636" style="1"/>
    <col min="4" max="4" width="9.81818181818182" style="1"/>
    <col min="5" max="5" width="8.09090909090909" style="1" customWidth="1"/>
    <col min="6" max="6" width="23.0909090909091" style="1" customWidth="1"/>
    <col min="7" max="7" width="19.0909090909091" style="1" customWidth="1"/>
    <col min="8" max="16376" width="9.81818181818182" style="1"/>
    <col min="16377" max="16384" width="9.81818181818182" style="3"/>
  </cols>
  <sheetData>
    <row r="1" s="1" customFormat="1" ht="14.15" customHeight="1" spans="1:7">
      <c r="A1" s="24" t="s">
        <v>106</v>
      </c>
      <c r="B1" s="24" t="s">
        <v>115</v>
      </c>
      <c r="C1" s="4" t="s">
        <v>5</v>
      </c>
      <c r="D1" s="4" t="s">
        <v>6</v>
      </c>
      <c r="E1" s="4"/>
      <c r="F1" s="5" t="s">
        <v>9</v>
      </c>
      <c r="G1" s="3"/>
    </row>
    <row r="2" s="1" customFormat="1" spans="1:7">
      <c r="A2" s="6" t="s">
        <v>10</v>
      </c>
      <c r="B2" s="2">
        <v>65.47856</v>
      </c>
      <c r="C2" s="8">
        <f>IF(A2="不开标",0,ROUND(100-100*IF(B2&gt;=G$9,G$2,G$3)*ABS(B2-G$9)/G$9,4))</f>
        <v>99.9931</v>
      </c>
      <c r="D2" s="9">
        <f>IF(B2="不开标","",_xlfn.RANK.EQ(C2,C:C,0))</f>
        <v>1</v>
      </c>
      <c r="E2" s="23"/>
      <c r="F2" s="11" t="s">
        <v>15</v>
      </c>
      <c r="G2" s="27">
        <v>1</v>
      </c>
    </row>
    <row r="3" s="1" customFormat="1" spans="1:7">
      <c r="A3" s="6" t="s">
        <v>12</v>
      </c>
      <c r="B3" s="2">
        <v>65.463428</v>
      </c>
      <c r="C3" s="8">
        <f t="shared" ref="C3:C16" si="0">IF(A3="不开标",0,ROUND(100-100*IF(B3&gt;=G$9,G$2,G$3)*ABS(B3-G$9)/G$9,4))</f>
        <v>99.987</v>
      </c>
      <c r="D3" s="9">
        <f t="shared" ref="D3:D16" si="1">IF(B3="不开标","",_xlfn.RANK.EQ(C3,C:C,0))</f>
        <v>2</v>
      </c>
      <c r="E3" s="23"/>
      <c r="F3" s="11" t="s">
        <v>17</v>
      </c>
      <c r="G3" s="27">
        <v>0.8</v>
      </c>
    </row>
    <row r="4" s="1" customFormat="1" spans="1:7">
      <c r="A4" s="6" t="s">
        <v>14</v>
      </c>
      <c r="B4" s="2">
        <v>65.34</v>
      </c>
      <c r="C4" s="8">
        <f t="shared" si="0"/>
        <v>99.8362</v>
      </c>
      <c r="D4" s="9">
        <f t="shared" si="1"/>
        <v>3</v>
      </c>
      <c r="E4" s="23"/>
      <c r="F4" s="11" t="s">
        <v>21</v>
      </c>
      <c r="G4" s="12">
        <v>80</v>
      </c>
    </row>
    <row r="5" s="1" customFormat="1" spans="1:7">
      <c r="A5" s="6" t="s">
        <v>16</v>
      </c>
      <c r="B5" s="2">
        <v>65.34</v>
      </c>
      <c r="C5" s="8">
        <f t="shared" si="0"/>
        <v>99.8362</v>
      </c>
      <c r="D5" s="9">
        <f t="shared" si="1"/>
        <v>3</v>
      </c>
      <c r="E5" s="23"/>
      <c r="F5" s="11" t="s">
        <v>23</v>
      </c>
      <c r="G5" s="13">
        <v>0.4</v>
      </c>
    </row>
    <row r="6" s="1" customFormat="1" spans="1:7">
      <c r="A6" s="6" t="s">
        <v>18</v>
      </c>
      <c r="B6" s="2">
        <v>65.3</v>
      </c>
      <c r="C6" s="8">
        <f t="shared" si="0"/>
        <v>99.7873</v>
      </c>
      <c r="D6" s="9">
        <f t="shared" si="1"/>
        <v>5</v>
      </c>
      <c r="E6" s="23"/>
    </row>
    <row r="7" s="1" customFormat="1" spans="1:7">
      <c r="A7" s="6" t="s">
        <v>20</v>
      </c>
      <c r="B7" s="2">
        <v>65.25</v>
      </c>
      <c r="C7" s="8">
        <f t="shared" si="0"/>
        <v>99.7262</v>
      </c>
      <c r="D7" s="9">
        <f t="shared" si="1"/>
        <v>6</v>
      </c>
      <c r="E7" s="23"/>
      <c r="F7" s="5" t="s">
        <v>27</v>
      </c>
      <c r="G7" s="3"/>
    </row>
    <row r="8" s="1" customFormat="1" spans="1:7">
      <c r="A8" s="6" t="s">
        <v>22</v>
      </c>
      <c r="B8" s="2">
        <v>66</v>
      </c>
      <c r="C8" s="8">
        <f t="shared" si="0"/>
        <v>99.1967</v>
      </c>
      <c r="D8" s="9">
        <f t="shared" si="1"/>
        <v>7</v>
      </c>
      <c r="E8" s="23"/>
      <c r="F8" s="11" t="s">
        <v>29</v>
      </c>
      <c r="G8" s="15">
        <f>COUNTA(B:B)-1</f>
        <v>15</v>
      </c>
    </row>
    <row r="9" s="1" customFormat="1" spans="1:7">
      <c r="A9" s="6" t="s">
        <v>25</v>
      </c>
      <c r="B9" s="2">
        <v>66.0288</v>
      </c>
      <c r="C9" s="8">
        <f t="shared" si="0"/>
        <v>99.1527</v>
      </c>
      <c r="D9" s="9">
        <f t="shared" si="1"/>
        <v>8</v>
      </c>
      <c r="E9" s="23"/>
      <c r="F9" s="11" t="s">
        <v>122</v>
      </c>
      <c r="G9" s="16">
        <f>AVERAGEIF(B:B,"&lt;&gt;")</f>
        <v>65.4740578666667</v>
      </c>
    </row>
    <row r="10" s="1" customFormat="1" spans="1:7">
      <c r="A10" s="6" t="s">
        <v>26</v>
      </c>
      <c r="B10" s="2">
        <v>66.03</v>
      </c>
      <c r="C10" s="8">
        <f t="shared" si="0"/>
        <v>99.1509</v>
      </c>
      <c r="D10" s="9">
        <f t="shared" si="1"/>
        <v>9</v>
      </c>
      <c r="E10" s="23"/>
      <c r="F10" s="17" t="s">
        <v>41</v>
      </c>
      <c r="G10" s="18">
        <f>G9/G4</f>
        <v>0.818425723333333</v>
      </c>
    </row>
    <row r="11" s="1" customFormat="1" spans="1:7">
      <c r="A11" s="6" t="s">
        <v>24</v>
      </c>
      <c r="B11" s="2">
        <v>64.37808</v>
      </c>
      <c r="C11" s="8">
        <f t="shared" si="0"/>
        <v>98.6609</v>
      </c>
      <c r="D11" s="9">
        <f t="shared" si="1"/>
        <v>10</v>
      </c>
      <c r="E11" s="23"/>
    </row>
    <row r="12" s="1" customFormat="1" spans="1:7">
      <c r="A12" s="6" t="s">
        <v>28</v>
      </c>
      <c r="B12" s="2">
        <v>66.72</v>
      </c>
      <c r="C12" s="8">
        <f t="shared" si="0"/>
        <v>98.097</v>
      </c>
      <c r="D12" s="9">
        <f t="shared" si="1"/>
        <v>11</v>
      </c>
      <c r="E12" s="23"/>
      <c r="F12" s="5" t="s">
        <v>44</v>
      </c>
      <c r="G12" s="3"/>
    </row>
    <row r="13" s="1" customFormat="1" spans="1:7">
      <c r="A13" s="6" t="s">
        <v>34</v>
      </c>
      <c r="B13" s="2">
        <v>67.4</v>
      </c>
      <c r="C13" s="8">
        <f t="shared" si="0"/>
        <v>97.0585</v>
      </c>
      <c r="D13" s="9">
        <f t="shared" si="1"/>
        <v>12</v>
      </c>
      <c r="E13" s="23"/>
      <c r="F13" s="19" t="s">
        <v>46</v>
      </c>
      <c r="G13" s="20" t="str">
        <f>IFERROR(VLOOKUP(F13,#REF!,3,0),"")</f>
        <v/>
      </c>
    </row>
    <row r="14" s="1" customFormat="1" spans="1:7">
      <c r="A14" s="6" t="s">
        <v>30</v>
      </c>
      <c r="B14" s="2">
        <v>62.7</v>
      </c>
      <c r="C14" s="8">
        <f t="shared" si="0"/>
        <v>96.6105</v>
      </c>
      <c r="D14" s="9">
        <f t="shared" si="1"/>
        <v>13</v>
      </c>
      <c r="E14" s="23"/>
      <c r="F14" s="11" t="s">
        <v>48</v>
      </c>
      <c r="G14" s="11" t="str">
        <f>IFERROR(VLOOKUP(F$13,A:C,3,0),"")</f>
        <v/>
      </c>
    </row>
    <row r="15" s="1" customFormat="1" spans="1:7">
      <c r="A15" s="6" t="s">
        <v>32</v>
      </c>
      <c r="B15" s="2">
        <v>62.5898</v>
      </c>
      <c r="C15" s="8">
        <f t="shared" si="0"/>
        <v>96.4758</v>
      </c>
      <c r="D15" s="9">
        <f t="shared" si="1"/>
        <v>14</v>
      </c>
      <c r="E15" s="23"/>
      <c r="F15" s="17" t="s">
        <v>50</v>
      </c>
      <c r="G15" s="17" t="str">
        <f>IFERROR(VLOOKUP(F$13,A:D,4,0),"")</f>
        <v/>
      </c>
    </row>
    <row r="16" s="1" customFormat="1" spans="1:7">
      <c r="A16" s="6" t="s">
        <v>36</v>
      </c>
      <c r="B16" s="2">
        <v>68.0922</v>
      </c>
      <c r="C16" s="8">
        <f t="shared" si="0"/>
        <v>96.0013</v>
      </c>
      <c r="D16" s="9">
        <f t="shared" si="1"/>
        <v>15</v>
      </c>
      <c r="E16" s="23"/>
      <c r="F16" s="11" t="s">
        <v>52</v>
      </c>
      <c r="G16" s="22">
        <f t="array" ref="G16">MAX(C:C)</f>
        <v>99.9931</v>
      </c>
    </row>
    <row r="17" s="1" customFormat="1" spans="1:7">
      <c r="A17" s="2"/>
      <c r="B17" s="2"/>
      <c r="F17" s="11" t="s">
        <v>54</v>
      </c>
      <c r="G17" s="11" t="str">
        <f>IFERROR(G16-G14,"")</f>
        <v/>
      </c>
    </row>
    <row r="18" s="1" customFormat="1" spans="1:7">
      <c r="A18" s="2"/>
      <c r="B18" s="2"/>
      <c r="F18" s="17" t="s">
        <v>56</v>
      </c>
      <c r="G18" s="17" t="str">
        <f>IFERROR(G17*G5,"")</f>
        <v/>
      </c>
    </row>
    <row r="19" s="1" customFormat="1" spans="1:7">
      <c r="A19" s="2"/>
      <c r="B19" s="2"/>
    </row>
    <row r="20" s="1" customFormat="1" spans="1:7">
      <c r="A20" s="2"/>
      <c r="B20" s="2"/>
    </row>
    <row r="21" s="1" customFormat="1" spans="1:7">
      <c r="A21" s="2"/>
      <c r="B21" s="2"/>
    </row>
    <row r="22" s="1" customFormat="1" spans="1:7">
      <c r="A22" s="2"/>
      <c r="B22" s="2"/>
    </row>
    <row r="23" s="1" customFormat="1" spans="1:7">
      <c r="A23" s="2"/>
      <c r="B23" s="2"/>
    </row>
    <row r="24" s="1" customFormat="1" spans="1:7">
      <c r="A24" s="2"/>
      <c r="B24" s="2"/>
    </row>
    <row r="25" s="1" customFormat="1" spans="1:7">
      <c r="A25" s="2"/>
      <c r="B25" s="2"/>
    </row>
    <row r="26" s="1" customFormat="1" spans="1:7">
      <c r="A26" s="2"/>
      <c r="B26" s="2"/>
    </row>
    <row r="27" s="1" customFormat="1" spans="1:7">
      <c r="A27" s="2"/>
      <c r="B27" s="2"/>
    </row>
    <row r="28" s="1" customFormat="1" spans="1:7">
      <c r="A28" s="2"/>
      <c r="B28" s="2"/>
    </row>
    <row r="29" s="1" customFormat="1" spans="1:7">
      <c r="A29" s="2"/>
      <c r="B29" s="2"/>
    </row>
    <row r="30" s="1" customFormat="1" spans="1:7">
      <c r="A30" s="2"/>
      <c r="B30" s="2"/>
    </row>
    <row r="31" s="1" customFormat="1" spans="1:7">
      <c r="A31" s="2"/>
      <c r="B31" s="2"/>
    </row>
    <row r="32" s="1" customFormat="1" spans="1:7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  <row r="38" s="1" customFormat="1" spans="1:2">
      <c r="A38" s="2"/>
      <c r="B38" s="2"/>
    </row>
    <row r="39" s="1" customFormat="1" spans="1:2">
      <c r="A39" s="2"/>
      <c r="B39" s="2"/>
    </row>
    <row r="40" s="1" customFormat="1" spans="1:2">
      <c r="A40" s="2"/>
      <c r="B40" s="2"/>
    </row>
    <row r="41" s="1" customFormat="1" spans="1:2">
      <c r="A41" s="2"/>
      <c r="B41" s="2"/>
    </row>
    <row r="42" s="1" customFormat="1" spans="1:2">
      <c r="A42" s="2"/>
      <c r="B42" s="2"/>
    </row>
    <row r="43" s="1" customFormat="1" spans="1:2">
      <c r="A43" s="2"/>
      <c r="B43" s="2"/>
    </row>
    <row r="44" s="1" customFormat="1" spans="1:2">
      <c r="A44" s="2"/>
      <c r="B44" s="2"/>
    </row>
    <row r="45" s="1" customFormat="1" spans="1:2">
      <c r="A45" s="2"/>
      <c r="B45" s="2"/>
    </row>
    <row r="46" s="1" customFormat="1" spans="1:2">
      <c r="A46" s="2"/>
      <c r="B46" s="2"/>
    </row>
    <row r="47" s="1" customFormat="1" spans="1:2">
      <c r="A47" s="2"/>
      <c r="B47" s="2"/>
    </row>
    <row r="48" s="1" customFormat="1" spans="1:2">
      <c r="A48" s="2"/>
      <c r="B48" s="2"/>
    </row>
    <row r="49" s="1" customFormat="1" spans="1:2">
      <c r="A49" s="2"/>
      <c r="B49" s="2"/>
    </row>
    <row r="50" s="1" customFormat="1" spans="1:2">
      <c r="A50" s="2"/>
      <c r="B50" s="2"/>
    </row>
    <row r="51" s="1" customFormat="1" spans="1:2">
      <c r="A51" s="2"/>
      <c r="B51" s="2"/>
    </row>
    <row r="52" s="1" customFormat="1" spans="1:2">
      <c r="A52" s="2"/>
      <c r="B52" s="2"/>
    </row>
    <row r="53" s="1" customFormat="1" spans="1:2">
      <c r="A53" s="2"/>
      <c r="B53" s="2"/>
    </row>
    <row r="54" s="1" customFormat="1" spans="1:2">
      <c r="A54" s="2"/>
      <c r="B54" s="2"/>
    </row>
    <row r="55" s="1" customFormat="1" spans="1:2">
      <c r="A55" s="2"/>
      <c r="B55" s="2"/>
    </row>
    <row r="56" s="1" customFormat="1" spans="1:2">
      <c r="A56" s="2"/>
      <c r="B56" s="2"/>
    </row>
    <row r="57" s="1" customFormat="1" spans="1:2">
      <c r="A57" s="2"/>
      <c r="B57" s="2"/>
    </row>
    <row r="58" s="1" customFormat="1" spans="1:2">
      <c r="A58" s="2"/>
      <c r="B58" s="2"/>
    </row>
    <row r="59" s="1" customFormat="1" spans="1:2">
      <c r="A59" s="2"/>
      <c r="B59" s="2"/>
    </row>
    <row r="60" s="1" customFormat="1" spans="1:2">
      <c r="A60" s="2"/>
      <c r="B60" s="2"/>
    </row>
    <row r="61" s="1" customFormat="1" spans="1:2">
      <c r="A61" s="2"/>
      <c r="B61" s="2"/>
    </row>
    <row r="62" s="1" customFormat="1" spans="1:2">
      <c r="A62" s="2"/>
      <c r="B62" s="2"/>
    </row>
    <row r="63" s="1" customFormat="1" spans="1:2">
      <c r="A63" s="2"/>
      <c r="B63" s="2"/>
    </row>
    <row r="64" s="1" customFormat="1" spans="1:2">
      <c r="A64" s="2"/>
      <c r="B64" s="2"/>
    </row>
    <row r="65" s="1" customFormat="1" spans="1:2">
      <c r="A65" s="2"/>
      <c r="B65" s="2"/>
    </row>
    <row r="66" s="1" customFormat="1" spans="1:2">
      <c r="A66" s="2"/>
      <c r="B66" s="2"/>
    </row>
    <row r="67" s="1" customFormat="1" spans="1:2">
      <c r="A67" s="2"/>
      <c r="B67" s="2"/>
    </row>
    <row r="68" s="1" customFormat="1" spans="1:2">
      <c r="A68" s="2"/>
      <c r="B68" s="2"/>
    </row>
    <row r="69" s="1" customFormat="1" spans="1:2">
      <c r="A69" s="2"/>
      <c r="B69" s="2"/>
    </row>
    <row r="70" s="1" customFormat="1" spans="1:2">
      <c r="A70" s="2"/>
      <c r="B70" s="2"/>
    </row>
    <row r="71" s="1" customFormat="1" spans="1:2">
      <c r="A71" s="2"/>
      <c r="B71" s="2"/>
    </row>
    <row r="72" s="1" customFormat="1" spans="1:2">
      <c r="A72" s="2"/>
      <c r="B72" s="2"/>
    </row>
    <row r="73" s="1" customFormat="1" spans="1:2">
      <c r="A73" s="2"/>
      <c r="B73" s="2"/>
    </row>
    <row r="74" s="1" customFormat="1" spans="1:2">
      <c r="A74" s="2"/>
      <c r="B74" s="2"/>
    </row>
    <row r="75" s="1" customFormat="1" spans="1:2">
      <c r="A75" s="2"/>
      <c r="B75" s="2"/>
    </row>
    <row r="76" s="1" customFormat="1" spans="1:2">
      <c r="A76" s="2"/>
      <c r="B76" s="2"/>
    </row>
    <row r="77" s="1" customFormat="1" spans="1:2">
      <c r="A77" s="2"/>
      <c r="B77" s="2"/>
    </row>
    <row r="78" s="1" customFormat="1" spans="1:2">
      <c r="A78" s="2"/>
      <c r="B78" s="2"/>
    </row>
    <row r="79" s="1" customFormat="1" spans="1:2">
      <c r="A79" s="2"/>
      <c r="B79" s="2"/>
    </row>
    <row r="80" s="1" customFormat="1" spans="1:2">
      <c r="A80" s="2"/>
      <c r="B80" s="2"/>
    </row>
    <row r="81" s="1" customFormat="1" spans="1:2">
      <c r="A81" s="2"/>
      <c r="B81" s="2"/>
    </row>
    <row r="82" s="1" customFormat="1" spans="1:2">
      <c r="A82" s="2"/>
      <c r="B82" s="2"/>
    </row>
    <row r="83" s="1" customFormat="1" spans="1:2">
      <c r="A83" s="2"/>
      <c r="B83" s="2"/>
    </row>
    <row r="84" s="1" customFormat="1" spans="1:2">
      <c r="A84" s="2"/>
      <c r="B84" s="2"/>
    </row>
    <row r="85" s="1" customFormat="1" spans="1:2">
      <c r="A85" s="2"/>
      <c r="B85" s="2"/>
    </row>
    <row r="86" s="1" customFormat="1" spans="1:2">
      <c r="A86" s="2"/>
      <c r="B86" s="2"/>
    </row>
    <row r="87" s="1" customFormat="1" spans="1:2">
      <c r="A87" s="2"/>
      <c r="B87" s="2"/>
    </row>
    <row r="88" s="1" customFormat="1" spans="1:2">
      <c r="A88" s="2"/>
      <c r="B88" s="2"/>
    </row>
    <row r="89" s="1" customFormat="1" spans="1:2">
      <c r="A89" s="2"/>
      <c r="B89" s="2"/>
    </row>
    <row r="90" s="1" customFormat="1" spans="1:2">
      <c r="A90" s="2"/>
      <c r="B90" s="2"/>
    </row>
    <row r="91" s="1" customFormat="1" spans="1:2">
      <c r="A91" s="2"/>
      <c r="B91" s="2"/>
    </row>
    <row r="92" s="1" customFormat="1" spans="1:2">
      <c r="A92" s="2"/>
      <c r="B92" s="2"/>
    </row>
    <row r="93" s="1" customFormat="1" spans="1:2">
      <c r="A93" s="2"/>
      <c r="B93" s="2"/>
    </row>
    <row r="94" s="1" customFormat="1" spans="1:2">
      <c r="A94" s="2"/>
      <c r="B94" s="2"/>
    </row>
    <row r="95" s="1" customFormat="1" spans="1:2">
      <c r="A95" s="2"/>
      <c r="B95" s="2"/>
    </row>
  </sheetData>
  <autoFilter xmlns:etc="http://www.wps.cn/officeDocument/2017/etCustomData" ref="A1:D16" etc:filterBottomFollowUsedRange="0">
    <sortState ref="A1:D16">
      <sortCondition ref="D1"/>
    </sortState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pane ySplit="10" topLeftCell="A11" activePane="bottomLeft" state="frozen"/>
      <selection/>
      <selection pane="bottomLeft" activeCell="A1" sqref="A1:B1"/>
    </sheetView>
  </sheetViews>
  <sheetFormatPr defaultColWidth="9.81818181818182" defaultRowHeight="14"/>
  <cols>
    <col min="1" max="1" width="27.5454545454545" style="2" customWidth="1"/>
    <col min="2" max="2" width="12.7727272727273" style="2" customWidth="1"/>
    <col min="3" max="3" width="12.9090909090909" style="1"/>
    <col min="4" max="5" width="9.81818181818182" style="1"/>
    <col min="6" max="6" width="20.8181818181818" style="1" customWidth="1"/>
    <col min="7" max="7" width="17.3636363636364" style="1" customWidth="1"/>
    <col min="8" max="16380" width="9.81818181818182" style="1"/>
    <col min="16381" max="16384" width="9.81818181818182" style="3"/>
  </cols>
  <sheetData>
    <row r="1" s="1" customFormat="1" spans="1:9">
      <c r="A1" s="24" t="s">
        <v>106</v>
      </c>
      <c r="B1" s="24" t="s">
        <v>115</v>
      </c>
      <c r="C1" s="4" t="s">
        <v>5</v>
      </c>
      <c r="D1" s="4" t="s">
        <v>6</v>
      </c>
      <c r="F1" s="5" t="s">
        <v>9</v>
      </c>
      <c r="G1" s="3"/>
    </row>
    <row r="2" s="1" customFormat="1" spans="1:9">
      <c r="A2" s="6" t="s">
        <v>34</v>
      </c>
      <c r="B2" s="7">
        <v>189.5</v>
      </c>
      <c r="C2" s="8">
        <f>IF(B2="不开标",0,ROUND(100-100*IF(B2&gt;=G$11,G$2,G$3)*ABS(B2-G$11)/G$11,4))</f>
        <v>99.7384</v>
      </c>
      <c r="D2" s="9">
        <f>IF(B2="不开标","",_xlfn.RANK.EQ(C2,C:C,0))</f>
        <v>1</v>
      </c>
      <c r="E2" s="10"/>
      <c r="F2" s="11" t="s">
        <v>15</v>
      </c>
      <c r="G2" s="27">
        <v>1.5</v>
      </c>
      <c r="H2" s="10"/>
      <c r="I2" s="10"/>
    </row>
    <row r="3" s="1" customFormat="1" spans="1:9">
      <c r="A3" s="6" t="s">
        <v>20</v>
      </c>
      <c r="B3" s="7">
        <v>189</v>
      </c>
      <c r="C3" s="8">
        <f t="shared" ref="C3:C16" si="0">IF(B3="不开标",0,ROUND(100-100*IF(B3&gt;=G$11,G$2,G$3)*ABS(B3-G$11)/G$11,4))</f>
        <v>99.6599</v>
      </c>
      <c r="D3" s="9">
        <f t="shared" ref="D3:D16" si="1">IF(B3="不开标","",_xlfn.RANK.EQ(C3,C:C,0))</f>
        <v>2</v>
      </c>
      <c r="E3" s="10"/>
      <c r="F3" s="11" t="s">
        <v>17</v>
      </c>
      <c r="G3" s="27">
        <v>0.3</v>
      </c>
      <c r="H3" s="10"/>
      <c r="I3" s="10"/>
    </row>
    <row r="4" s="1" customFormat="1" spans="1:9">
      <c r="A4" s="6" t="s">
        <v>16</v>
      </c>
      <c r="B4" s="7">
        <v>188</v>
      </c>
      <c r="C4" s="8">
        <f t="shared" si="0"/>
        <v>99.503</v>
      </c>
      <c r="D4" s="9">
        <f t="shared" si="1"/>
        <v>3</v>
      </c>
      <c r="E4" s="14"/>
      <c r="F4" s="25" t="s">
        <v>19</v>
      </c>
      <c r="G4" s="28">
        <v>0.01</v>
      </c>
      <c r="H4" s="14"/>
      <c r="I4" s="14"/>
    </row>
    <row r="5" s="1" customFormat="1" spans="1:9">
      <c r="A5" s="6" t="s">
        <v>26</v>
      </c>
      <c r="B5" s="7">
        <v>185</v>
      </c>
      <c r="C5" s="8">
        <f t="shared" si="0"/>
        <v>99.0322</v>
      </c>
      <c r="D5" s="9">
        <f t="shared" si="1"/>
        <v>4</v>
      </c>
      <c r="E5" s="10"/>
      <c r="F5" s="11" t="s">
        <v>21</v>
      </c>
      <c r="G5" s="12">
        <v>204</v>
      </c>
      <c r="H5" s="10"/>
      <c r="I5" s="10"/>
    </row>
    <row r="6" s="1" customFormat="1" spans="1:9">
      <c r="A6" s="6" t="s">
        <v>24</v>
      </c>
      <c r="B6" s="7">
        <v>193</v>
      </c>
      <c r="C6" s="8">
        <f t="shared" si="0"/>
        <v>98.5619</v>
      </c>
      <c r="D6" s="9">
        <f t="shared" si="1"/>
        <v>5</v>
      </c>
      <c r="E6" s="10"/>
      <c r="F6" s="11" t="s">
        <v>23</v>
      </c>
      <c r="G6" s="13">
        <v>0.4</v>
      </c>
      <c r="H6" s="10"/>
      <c r="I6" s="10"/>
    </row>
    <row r="7" s="1" customFormat="1" spans="1:9">
      <c r="A7" s="6" t="s">
        <v>28</v>
      </c>
      <c r="B7" s="7">
        <v>194</v>
      </c>
      <c r="C7" s="8">
        <f t="shared" si="0"/>
        <v>97.7772</v>
      </c>
      <c r="D7" s="9">
        <f t="shared" si="1"/>
        <v>6</v>
      </c>
      <c r="E7" s="10"/>
      <c r="F7" s="1"/>
      <c r="G7" s="1"/>
      <c r="H7" s="10"/>
      <c r="I7" s="10"/>
    </row>
    <row r="8" s="1" customFormat="1" spans="1:9">
      <c r="A8" s="6" t="s">
        <v>32</v>
      </c>
      <c r="B8" s="7">
        <v>175</v>
      </c>
      <c r="C8" s="8">
        <f t="shared" si="0"/>
        <v>97.4629</v>
      </c>
      <c r="D8" s="9">
        <f t="shared" si="1"/>
        <v>7</v>
      </c>
      <c r="E8" s="10"/>
      <c r="F8" s="5" t="s">
        <v>27</v>
      </c>
      <c r="G8" s="3"/>
      <c r="H8" s="10"/>
      <c r="I8" s="10"/>
    </row>
    <row r="9" s="1" customFormat="1" spans="1:9">
      <c r="A9" s="6" t="s">
        <v>36</v>
      </c>
      <c r="B9" s="7">
        <v>195</v>
      </c>
      <c r="C9" s="8">
        <f t="shared" si="0"/>
        <v>96.9926</v>
      </c>
      <c r="D9" s="9">
        <f t="shared" si="1"/>
        <v>8</v>
      </c>
      <c r="E9" s="10"/>
      <c r="F9" s="11" t="s">
        <v>29</v>
      </c>
      <c r="G9" s="15">
        <f>COUNTA(C:C)-1</f>
        <v>15</v>
      </c>
      <c r="H9" s="10"/>
      <c r="I9" s="10"/>
    </row>
    <row r="10" s="1" customFormat="1" spans="1:9">
      <c r="A10" s="6" t="s">
        <v>22</v>
      </c>
      <c r="B10" s="7">
        <v>167</v>
      </c>
      <c r="C10" s="8">
        <f t="shared" si="0"/>
        <v>96.2074</v>
      </c>
      <c r="D10" s="9">
        <f t="shared" si="1"/>
        <v>9</v>
      </c>
      <c r="E10" s="10"/>
      <c r="F10" s="11" t="s">
        <v>31</v>
      </c>
      <c r="G10" s="16">
        <f>AVERAGEIF(B:B,"&lt;&gt;")</f>
        <v>189.274466666667</v>
      </c>
      <c r="H10" s="10"/>
      <c r="I10" s="10"/>
    </row>
    <row r="11" s="1" customFormat="1" spans="1:9">
      <c r="A11" s="6" t="s">
        <v>25</v>
      </c>
      <c r="B11" s="7">
        <v>165</v>
      </c>
      <c r="C11" s="8">
        <f t="shared" si="0"/>
        <v>95.8936</v>
      </c>
      <c r="D11" s="9">
        <f t="shared" si="1"/>
        <v>10</v>
      </c>
      <c r="E11" s="10"/>
      <c r="F11" s="11" t="s">
        <v>122</v>
      </c>
      <c r="G11" s="16">
        <f>G10*(1+G4)</f>
        <v>191.167211333333</v>
      </c>
      <c r="H11" s="10"/>
      <c r="I11" s="10"/>
    </row>
    <row r="12" s="1" customFormat="1" spans="1:9">
      <c r="A12" s="6" t="s">
        <v>10</v>
      </c>
      <c r="B12" s="21">
        <v>197.88</v>
      </c>
      <c r="C12" s="8">
        <f t="shared" si="0"/>
        <v>94.7328</v>
      </c>
      <c r="D12" s="9">
        <f t="shared" si="1"/>
        <v>11</v>
      </c>
      <c r="E12" s="10"/>
      <c r="F12" s="17" t="s">
        <v>41</v>
      </c>
      <c r="G12" s="18">
        <f>G11/G5</f>
        <v>0.937094173202614</v>
      </c>
      <c r="H12" s="10"/>
      <c r="I12" s="10"/>
    </row>
    <row r="13" s="1" customFormat="1" spans="1:9">
      <c r="A13" s="6" t="s">
        <v>18</v>
      </c>
      <c r="B13" s="7">
        <v>199</v>
      </c>
      <c r="C13" s="8">
        <f t="shared" si="0"/>
        <v>93.854</v>
      </c>
      <c r="D13" s="9">
        <f t="shared" si="1"/>
        <v>12</v>
      </c>
      <c r="E13" s="10"/>
      <c r="F13" s="1"/>
      <c r="G13" s="1"/>
      <c r="H13" s="10"/>
      <c r="I13" s="10"/>
    </row>
    <row r="14" s="1" customFormat="1" spans="1:9">
      <c r="A14" s="6" t="s">
        <v>30</v>
      </c>
      <c r="B14" s="7">
        <v>199.5</v>
      </c>
      <c r="C14" s="8">
        <f t="shared" si="0"/>
        <v>93.4616</v>
      </c>
      <c r="D14" s="9">
        <f t="shared" si="1"/>
        <v>13</v>
      </c>
      <c r="E14" s="10"/>
      <c r="F14" s="5" t="s">
        <v>44</v>
      </c>
      <c r="G14" s="3"/>
      <c r="H14" s="10"/>
      <c r="I14" s="10"/>
    </row>
    <row r="15" s="1" customFormat="1" spans="1:9">
      <c r="A15" s="6" t="s">
        <v>12</v>
      </c>
      <c r="B15" s="7">
        <v>200.226</v>
      </c>
      <c r="C15" s="8">
        <f t="shared" si="0"/>
        <v>92.892</v>
      </c>
      <c r="D15" s="9">
        <f t="shared" si="1"/>
        <v>14</v>
      </c>
      <c r="E15" s="10"/>
      <c r="F15" s="19" t="s">
        <v>46</v>
      </c>
      <c r="G15" s="20" t="str">
        <f>IFERROR(VLOOKUP(F15,#REF!,3,0),"")</f>
        <v/>
      </c>
      <c r="H15" s="10"/>
      <c r="I15" s="10"/>
    </row>
    <row r="16" s="1" customFormat="1" spans="1:9">
      <c r="A16" s="6" t="s">
        <v>14</v>
      </c>
      <c r="B16" s="7">
        <v>202.011</v>
      </c>
      <c r="C16" s="8">
        <f t="shared" si="0"/>
        <v>91.4914</v>
      </c>
      <c r="D16" s="9">
        <f t="shared" si="1"/>
        <v>15</v>
      </c>
      <c r="E16" s="10"/>
      <c r="F16" s="11" t="s">
        <v>48</v>
      </c>
      <c r="G16" s="11" t="str">
        <f>IFERROR(VLOOKUP(F$15,A:C,3,0),"")</f>
        <v/>
      </c>
      <c r="H16" s="10"/>
      <c r="I16" s="10"/>
    </row>
    <row r="17" s="1" customFormat="1" spans="1:9">
      <c r="A17" s="2"/>
      <c r="B17" s="2"/>
      <c r="E17" s="23"/>
      <c r="F17" s="17" t="s">
        <v>50</v>
      </c>
      <c r="G17" s="17" t="str">
        <f>IFERROR(VLOOKUP(F$15,A:D,4,0),"")</f>
        <v/>
      </c>
      <c r="H17" s="23"/>
      <c r="I17" s="23"/>
    </row>
    <row r="18" s="1" customFormat="1" spans="1:9">
      <c r="A18" s="2"/>
      <c r="B18" s="2"/>
      <c r="E18" s="23"/>
      <c r="F18" s="11" t="s">
        <v>52</v>
      </c>
      <c r="G18" s="22">
        <f t="array" ref="G18">MAX(C:C)</f>
        <v>99.7384</v>
      </c>
      <c r="H18" s="23"/>
      <c r="I18" s="23"/>
    </row>
    <row r="19" s="1" customFormat="1" spans="1:9">
      <c r="A19" s="2"/>
      <c r="B19" s="2"/>
      <c r="E19" s="23"/>
      <c r="F19" s="11" t="s">
        <v>54</v>
      </c>
      <c r="G19" s="11" t="str">
        <f>IFERROR(G18-G16,"")</f>
        <v/>
      </c>
      <c r="H19" s="23"/>
      <c r="I19" s="23"/>
    </row>
    <row r="20" s="1" customFormat="1" spans="1:9">
      <c r="A20" s="2"/>
      <c r="B20" s="2"/>
      <c r="E20" s="23"/>
      <c r="F20" s="17" t="s">
        <v>56</v>
      </c>
      <c r="G20" s="17" t="str">
        <f>IFERROR(G19*G7,"")</f>
        <v/>
      </c>
      <c r="H20" s="23"/>
      <c r="I20" s="23"/>
    </row>
    <row r="21" s="1" customFormat="1" spans="1:9">
      <c r="A21" s="2"/>
      <c r="B21" s="2"/>
    </row>
    <row r="22" s="1" customFormat="1" spans="1:9">
      <c r="A22" s="2"/>
      <c r="B22" s="2"/>
    </row>
    <row r="23" s="1" customFormat="1" spans="1:9">
      <c r="A23" s="2"/>
      <c r="B23" s="2"/>
    </row>
    <row r="24" s="1" customFormat="1" spans="1:9">
      <c r="A24" s="2"/>
      <c r="B24" s="2"/>
    </row>
    <row r="25" s="1" customFormat="1" spans="1:9">
      <c r="A25" s="2"/>
      <c r="B25" s="2"/>
    </row>
    <row r="26" s="1" customFormat="1" spans="1:9">
      <c r="A26" s="2"/>
      <c r="B26" s="2"/>
    </row>
    <row r="27" s="1" customFormat="1" spans="1:9">
      <c r="A27" s="2"/>
      <c r="B27" s="2"/>
    </row>
    <row r="28" s="1" customFormat="1" spans="1:9">
      <c r="A28" s="2"/>
      <c r="B28" s="2"/>
    </row>
    <row r="29" s="1" customFormat="1" spans="1:9">
      <c r="A29" s="2"/>
      <c r="B29" s="2"/>
    </row>
    <row r="30" s="1" customFormat="1" spans="1:9">
      <c r="A30" s="2"/>
      <c r="B30" s="2"/>
    </row>
    <row r="31" s="1" customFormat="1" spans="1:9">
      <c r="A31" s="2"/>
      <c r="B31" s="2"/>
    </row>
    <row r="32" s="1" customFormat="1" spans="1:9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  <row r="38" s="1" customFormat="1" spans="1:2">
      <c r="A38" s="2"/>
      <c r="B38" s="2"/>
    </row>
    <row r="39" s="1" customFormat="1" spans="1:2">
      <c r="A39" s="2"/>
      <c r="B39" s="2"/>
    </row>
    <row r="40" s="1" customFormat="1" spans="1:2">
      <c r="A40" s="2"/>
      <c r="B40" s="2"/>
    </row>
    <row r="41" s="1" customFormat="1" spans="1:2">
      <c r="A41" s="2"/>
      <c r="B41" s="2"/>
    </row>
    <row r="42" s="1" customFormat="1" spans="1:2">
      <c r="A42" s="2"/>
      <c r="B42" s="2"/>
    </row>
    <row r="43" s="1" customFormat="1" spans="1:2">
      <c r="A43" s="2"/>
      <c r="B43" s="2"/>
    </row>
    <row r="44" s="1" customFormat="1" spans="1:2">
      <c r="A44" s="2"/>
      <c r="B44" s="2"/>
    </row>
    <row r="45" s="1" customFormat="1" spans="1:2">
      <c r="A45" s="2"/>
      <c r="B45" s="2"/>
    </row>
    <row r="46" s="1" customFormat="1" spans="1:2">
      <c r="A46" s="2"/>
      <c r="B46" s="2"/>
    </row>
    <row r="47" s="1" customFormat="1" spans="1:2">
      <c r="A47" s="2"/>
      <c r="B47" s="2"/>
    </row>
    <row r="48" s="1" customFormat="1" spans="1:2">
      <c r="A48" s="2"/>
      <c r="B48" s="2"/>
    </row>
    <row r="49" s="1" customFormat="1" spans="1:2">
      <c r="A49" s="2"/>
      <c r="B49" s="2"/>
    </row>
    <row r="50" s="1" customFormat="1" spans="1:2">
      <c r="A50" s="2"/>
      <c r="B50" s="2"/>
    </row>
    <row r="51" s="1" customFormat="1" spans="1:2">
      <c r="A51" s="2"/>
      <c r="B51" s="2"/>
    </row>
    <row r="52" s="1" customFormat="1" spans="1:2">
      <c r="A52" s="2"/>
      <c r="B52" s="2"/>
    </row>
    <row r="53" s="1" customFormat="1" spans="1:2">
      <c r="A53" s="2"/>
      <c r="B53" s="2"/>
    </row>
    <row r="54" s="1" customFormat="1" spans="1:2">
      <c r="A54" s="2"/>
      <c r="B54" s="2"/>
    </row>
    <row r="55" s="1" customFormat="1" spans="1:2">
      <c r="A55" s="2"/>
      <c r="B55" s="2"/>
    </row>
    <row r="56" s="1" customFormat="1" spans="1:2">
      <c r="A56" s="2"/>
      <c r="B56" s="2"/>
    </row>
    <row r="57" s="1" customFormat="1" spans="1:2">
      <c r="A57" s="2"/>
      <c r="B57" s="2"/>
    </row>
    <row r="58" s="1" customFormat="1" spans="1:2">
      <c r="A58" s="2"/>
      <c r="B58" s="2"/>
    </row>
  </sheetData>
  <autoFilter xmlns:etc="http://www.wps.cn/officeDocument/2017/etCustomData" ref="A1:D16" etc:filterBottomFollowUsedRange="0">
    <sortState ref="A1:D16">
      <sortCondition ref="D1"/>
    </sortState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" sqref="A1:B1"/>
    </sheetView>
  </sheetViews>
  <sheetFormatPr defaultColWidth="9.81818181818182" defaultRowHeight="14"/>
  <cols>
    <col min="1" max="1" width="27.5454545454545" style="2" customWidth="1"/>
    <col min="2" max="2" width="12.7727272727273" style="2" customWidth="1"/>
    <col min="3" max="3" width="15.1818181818182" style="1"/>
    <col min="4" max="4" width="9.81818181818182" style="1"/>
    <col min="5" max="5" width="4.90909090909091" style="1" customWidth="1"/>
    <col min="6" max="6" width="11" style="1" customWidth="1"/>
    <col min="7" max="7" width="9.81818181818182" style="1"/>
    <col min="8" max="8" width="20.8181818181818" style="1" customWidth="1"/>
    <col min="9" max="9" width="17.3636363636364" style="1" customWidth="1"/>
    <col min="10" max="16382" width="9.81818181818182" style="1"/>
    <col min="16383" max="16384" width="9.81818181818182" style="3"/>
  </cols>
  <sheetData>
    <row r="1" s="1" customFormat="1" spans="1:11">
      <c r="A1" s="24" t="s">
        <v>106</v>
      </c>
      <c r="B1" s="24" t="s">
        <v>115</v>
      </c>
      <c r="C1" s="4" t="s">
        <v>5</v>
      </c>
      <c r="D1" s="4" t="s">
        <v>6</v>
      </c>
      <c r="F1" s="1" t="s">
        <v>123</v>
      </c>
      <c r="H1" s="5" t="s">
        <v>9</v>
      </c>
      <c r="I1" s="3"/>
    </row>
    <row r="2" s="1" customFormat="1" spans="1:11">
      <c r="A2" s="6" t="s">
        <v>24</v>
      </c>
      <c r="B2" s="7">
        <v>193</v>
      </c>
      <c r="C2" s="8">
        <f t="shared" ref="C2:C16" si="0">IF(B2="不开标",0,ROUND(IF(B2&gt;=I$15,(I$15/B2)*I$4*100,(B2/I$15)*I$5*100),4))</f>
        <v>98.3148</v>
      </c>
      <c r="D2" s="9">
        <f>IF(B2="不开标","",_xlfn.RANK.EQ(C2,C:C,0))</f>
        <v>1</v>
      </c>
      <c r="E2" s="10"/>
      <c r="F2" s="10" t="b">
        <f t="shared" ref="F2:F16" si="1">IF(B2="不开标",FALSE,IF(AND(B2&lt;I$13,B2&gt;I$14),FALSE,TRUE))</f>
        <v>1</v>
      </c>
      <c r="G2" s="10"/>
      <c r="H2" s="25" t="s">
        <v>124</v>
      </c>
      <c r="I2" s="26">
        <v>0.8</v>
      </c>
      <c r="J2" s="10"/>
      <c r="K2" s="10"/>
    </row>
    <row r="3" s="1" customFormat="1" spans="1:11">
      <c r="A3" s="6" t="s">
        <v>28</v>
      </c>
      <c r="B3" s="7">
        <v>194</v>
      </c>
      <c r="C3" s="8">
        <f t="shared" si="0"/>
        <v>97.8081</v>
      </c>
      <c r="D3" s="9">
        <f t="shared" ref="D3:D16" si="2">IF(B3="不开标","",_xlfn.RANK.EQ(C3,C:C,0))</f>
        <v>2</v>
      </c>
      <c r="E3" s="10"/>
      <c r="F3" s="10" t="b">
        <f t="shared" si="1"/>
        <v>1</v>
      </c>
      <c r="G3" s="10"/>
      <c r="H3" s="25" t="s">
        <v>125</v>
      </c>
      <c r="I3" s="26">
        <v>1.1</v>
      </c>
      <c r="J3" s="10"/>
      <c r="K3" s="10"/>
    </row>
    <row r="4" s="1" customFormat="1" spans="1:11">
      <c r="A4" s="6" t="s">
        <v>36</v>
      </c>
      <c r="B4" s="7">
        <v>195</v>
      </c>
      <c r="C4" s="8">
        <f t="shared" si="0"/>
        <v>97.3065</v>
      </c>
      <c r="D4" s="9">
        <f t="shared" si="2"/>
        <v>3</v>
      </c>
      <c r="E4" s="10"/>
      <c r="F4" s="10" t="b">
        <f t="shared" si="1"/>
        <v>1</v>
      </c>
      <c r="G4" s="14"/>
      <c r="H4" s="11" t="s">
        <v>112</v>
      </c>
      <c r="I4" s="27">
        <v>1</v>
      </c>
      <c r="J4" s="14"/>
      <c r="K4" s="14"/>
    </row>
    <row r="5" s="1" customFormat="1" spans="1:11">
      <c r="A5" s="6" t="s">
        <v>10</v>
      </c>
      <c r="B5" s="21">
        <v>197.88</v>
      </c>
      <c r="C5" s="8">
        <f t="shared" si="0"/>
        <v>95.8903</v>
      </c>
      <c r="D5" s="9">
        <f t="shared" si="2"/>
        <v>4</v>
      </c>
      <c r="E5" s="10"/>
      <c r="F5" s="10" t="b">
        <f t="shared" si="1"/>
        <v>1</v>
      </c>
      <c r="G5" s="10"/>
      <c r="H5" s="11" t="s">
        <v>126</v>
      </c>
      <c r="I5" s="27">
        <v>0.9</v>
      </c>
      <c r="J5" s="10"/>
      <c r="K5" s="10"/>
    </row>
    <row r="6" s="1" customFormat="1" spans="1:11">
      <c r="A6" s="6" t="s">
        <v>18</v>
      </c>
      <c r="B6" s="7">
        <v>199</v>
      </c>
      <c r="C6" s="8">
        <f t="shared" si="0"/>
        <v>95.3506</v>
      </c>
      <c r="D6" s="9">
        <f t="shared" si="2"/>
        <v>5</v>
      </c>
      <c r="E6" s="10"/>
      <c r="F6" s="10" t="b">
        <f t="shared" si="1"/>
        <v>1</v>
      </c>
      <c r="G6" s="10"/>
      <c r="H6" s="25" t="s">
        <v>119</v>
      </c>
      <c r="I6" s="28">
        <v>-0.0025</v>
      </c>
      <c r="J6" s="10"/>
      <c r="K6" s="10"/>
    </row>
    <row r="7" s="1" customFormat="1" spans="1:11">
      <c r="A7" s="6" t="s">
        <v>30</v>
      </c>
      <c r="B7" s="7">
        <v>199.5</v>
      </c>
      <c r="C7" s="8">
        <f t="shared" si="0"/>
        <v>95.1116</v>
      </c>
      <c r="D7" s="9">
        <f t="shared" si="2"/>
        <v>6</v>
      </c>
      <c r="E7" s="10"/>
      <c r="F7" s="10" t="b">
        <f t="shared" si="1"/>
        <v>1</v>
      </c>
      <c r="G7" s="10"/>
      <c r="H7" s="11" t="s">
        <v>21</v>
      </c>
      <c r="I7" s="12">
        <v>204</v>
      </c>
      <c r="J7" s="10"/>
      <c r="K7" s="10"/>
    </row>
    <row r="8" s="1" customFormat="1" spans="1:11">
      <c r="A8" s="6" t="s">
        <v>12</v>
      </c>
      <c r="B8" s="7">
        <v>200.226</v>
      </c>
      <c r="C8" s="8">
        <f t="shared" si="0"/>
        <v>94.7667</v>
      </c>
      <c r="D8" s="9">
        <f t="shared" si="2"/>
        <v>7</v>
      </c>
      <c r="E8" s="10"/>
      <c r="F8" s="10" t="b">
        <f t="shared" si="1"/>
        <v>1</v>
      </c>
      <c r="G8" s="10"/>
      <c r="H8" s="11" t="s">
        <v>23</v>
      </c>
      <c r="I8" s="13">
        <v>0.4</v>
      </c>
      <c r="J8" s="10"/>
      <c r="K8" s="10"/>
    </row>
    <row r="9" s="1" customFormat="1" spans="1:11">
      <c r="A9" s="6" t="s">
        <v>14</v>
      </c>
      <c r="B9" s="7">
        <v>202.011</v>
      </c>
      <c r="C9" s="8">
        <f t="shared" si="0"/>
        <v>93.9294</v>
      </c>
      <c r="D9" s="9">
        <f t="shared" si="2"/>
        <v>8</v>
      </c>
      <c r="E9" s="10"/>
      <c r="F9" s="10" t="b">
        <f t="shared" si="1"/>
        <v>1</v>
      </c>
      <c r="G9" s="10"/>
      <c r="J9" s="10"/>
      <c r="K9" s="10"/>
    </row>
    <row r="10" s="1" customFormat="1" spans="1:11">
      <c r="A10" s="6" t="s">
        <v>34</v>
      </c>
      <c r="B10" s="7">
        <v>189.5</v>
      </c>
      <c r="C10" s="8">
        <f t="shared" si="0"/>
        <v>89.8825</v>
      </c>
      <c r="D10" s="9">
        <f t="shared" si="2"/>
        <v>9</v>
      </c>
      <c r="E10" s="10"/>
      <c r="F10" s="10" t="b">
        <f t="shared" si="1"/>
        <v>1</v>
      </c>
      <c r="G10" s="10"/>
      <c r="H10" s="5" t="s">
        <v>27</v>
      </c>
      <c r="I10" s="3"/>
      <c r="J10" s="10"/>
      <c r="K10" s="10"/>
    </row>
    <row r="11" s="1" customFormat="1" spans="1:11">
      <c r="A11" s="6" t="s">
        <v>20</v>
      </c>
      <c r="B11" s="7">
        <v>189</v>
      </c>
      <c r="C11" s="8">
        <f t="shared" si="0"/>
        <v>89.6454</v>
      </c>
      <c r="D11" s="9">
        <f t="shared" si="2"/>
        <v>10</v>
      </c>
      <c r="E11" s="10"/>
      <c r="F11" s="10" t="b">
        <f t="shared" si="1"/>
        <v>1</v>
      </c>
      <c r="G11" s="10"/>
      <c r="H11" s="11" t="s">
        <v>29</v>
      </c>
      <c r="I11" s="15">
        <f>COUNTA(C:C)-1</f>
        <v>15</v>
      </c>
      <c r="J11" s="10"/>
      <c r="K11" s="10"/>
    </row>
    <row r="12" s="1" customFormat="1" spans="1:11">
      <c r="A12" s="6" t="s">
        <v>16</v>
      </c>
      <c r="B12" s="7">
        <v>188</v>
      </c>
      <c r="C12" s="8">
        <f t="shared" si="0"/>
        <v>89.1711</v>
      </c>
      <c r="D12" s="9">
        <f t="shared" si="2"/>
        <v>11</v>
      </c>
      <c r="E12" s="14"/>
      <c r="F12" s="10" t="b">
        <f t="shared" si="1"/>
        <v>1</v>
      </c>
      <c r="G12" s="10"/>
      <c r="H12" s="11" t="s">
        <v>31</v>
      </c>
      <c r="I12" s="16">
        <f>AVERAGEIF(B:B,"&lt;&gt;")</f>
        <v>189.274466666667</v>
      </c>
      <c r="J12" s="10"/>
      <c r="K12" s="10"/>
    </row>
    <row r="13" s="1" customFormat="1" spans="1:11">
      <c r="A13" s="6" t="s">
        <v>26</v>
      </c>
      <c r="B13" s="7">
        <v>185</v>
      </c>
      <c r="C13" s="8">
        <f t="shared" si="0"/>
        <v>87.7481</v>
      </c>
      <c r="D13" s="9">
        <f t="shared" si="2"/>
        <v>12</v>
      </c>
      <c r="E13" s="10"/>
      <c r="F13" s="10" t="b">
        <f t="shared" si="1"/>
        <v>1</v>
      </c>
      <c r="G13" s="10"/>
      <c r="H13" s="25" t="s">
        <v>33</v>
      </c>
      <c r="I13" s="29">
        <f>I$12*I2</f>
        <v>151.419573333333</v>
      </c>
      <c r="J13" s="10"/>
      <c r="K13" s="10"/>
    </row>
    <row r="14" s="1" customFormat="1" spans="1:11">
      <c r="A14" s="6" t="s">
        <v>32</v>
      </c>
      <c r="B14" s="7">
        <v>175</v>
      </c>
      <c r="C14" s="8">
        <f t="shared" si="0"/>
        <v>83.005</v>
      </c>
      <c r="D14" s="9">
        <f t="shared" si="2"/>
        <v>13</v>
      </c>
      <c r="E14" s="10"/>
      <c r="F14" s="10" t="b">
        <f t="shared" si="1"/>
        <v>1</v>
      </c>
      <c r="G14" s="10"/>
      <c r="H14" s="25" t="s">
        <v>35</v>
      </c>
      <c r="I14" s="29">
        <f>I$12*I3</f>
        <v>208.201913333333</v>
      </c>
      <c r="J14" s="10"/>
      <c r="K14" s="10"/>
    </row>
    <row r="15" s="1" customFormat="1" spans="1:11">
      <c r="A15" s="6" t="s">
        <v>22</v>
      </c>
      <c r="B15" s="7">
        <v>167</v>
      </c>
      <c r="C15" s="8">
        <f t="shared" si="0"/>
        <v>79.2105</v>
      </c>
      <c r="D15" s="9">
        <f t="shared" si="2"/>
        <v>14</v>
      </c>
      <c r="E15" s="10"/>
      <c r="F15" s="10" t="b">
        <f t="shared" si="1"/>
        <v>1</v>
      </c>
      <c r="G15" s="10"/>
      <c r="H15" s="11" t="s">
        <v>122</v>
      </c>
      <c r="I15" s="16">
        <f>I12*(1-I6)</f>
        <v>189.747652833333</v>
      </c>
      <c r="J15" s="10"/>
      <c r="K15" s="10"/>
    </row>
    <row r="16" s="1" customFormat="1" spans="1:11">
      <c r="A16" s="6" t="s">
        <v>25</v>
      </c>
      <c r="B16" s="7">
        <v>165</v>
      </c>
      <c r="C16" s="8">
        <f t="shared" si="0"/>
        <v>78.2618</v>
      </c>
      <c r="D16" s="9">
        <f t="shared" si="2"/>
        <v>15</v>
      </c>
      <c r="E16" s="10"/>
      <c r="F16" s="10" t="b">
        <f t="shared" si="1"/>
        <v>1</v>
      </c>
      <c r="G16" s="10"/>
      <c r="H16" s="17" t="s">
        <v>41</v>
      </c>
      <c r="I16" s="18">
        <f>I15/I7</f>
        <v>0.930135553104575</v>
      </c>
      <c r="J16" s="10"/>
      <c r="K16" s="10"/>
    </row>
    <row r="17" s="1" customFormat="1" spans="1:11">
      <c r="A17" s="2"/>
      <c r="B17" s="2"/>
      <c r="E17" s="23"/>
      <c r="F17" s="23"/>
      <c r="G17" s="23"/>
      <c r="J17" s="23"/>
      <c r="K17" s="23"/>
    </row>
    <row r="18" s="1" customFormat="1" spans="1:11">
      <c r="A18" s="2"/>
      <c r="B18" s="2"/>
      <c r="E18" s="23"/>
      <c r="F18" s="23"/>
      <c r="G18" s="23"/>
      <c r="H18" s="5" t="s">
        <v>44</v>
      </c>
      <c r="I18" s="3"/>
      <c r="J18" s="23"/>
      <c r="K18" s="23"/>
    </row>
    <row r="19" s="1" customFormat="1" spans="1:11">
      <c r="A19" s="2"/>
      <c r="B19" s="2"/>
      <c r="E19" s="23"/>
      <c r="F19" s="23"/>
      <c r="G19" s="23"/>
      <c r="H19" s="19" t="s">
        <v>46</v>
      </c>
      <c r="I19" s="20" t="str">
        <f>IFERROR(VLOOKUP(H19,#REF!,3,0),"")</f>
        <v/>
      </c>
      <c r="J19" s="23"/>
      <c r="K19" s="23"/>
    </row>
    <row r="20" s="1" customFormat="1" spans="1:11">
      <c r="A20" s="2"/>
      <c r="B20" s="2"/>
      <c r="E20" s="23"/>
      <c r="F20" s="23"/>
      <c r="G20" s="23"/>
      <c r="H20" s="11" t="s">
        <v>48</v>
      </c>
      <c r="I20" s="11" t="str">
        <f>IFERROR(VLOOKUP(H$19,A:C,3,0),"")</f>
        <v/>
      </c>
      <c r="J20" s="23"/>
      <c r="K20" s="23"/>
    </row>
    <row r="21" s="1" customFormat="1" spans="1:11">
      <c r="A21" s="2"/>
      <c r="B21" s="2"/>
      <c r="H21" s="17" t="s">
        <v>50</v>
      </c>
      <c r="I21" s="17" t="str">
        <f>IFERROR(VLOOKUP(H$19,A:D,4,0),"")</f>
        <v/>
      </c>
    </row>
    <row r="22" s="1" customFormat="1" spans="1:11">
      <c r="A22" s="2"/>
      <c r="B22" s="2"/>
      <c r="H22" s="11" t="s">
        <v>52</v>
      </c>
      <c r="I22" s="22">
        <f t="array" ref="I22">MAX(C:C)</f>
        <v>98.3148</v>
      </c>
    </row>
    <row r="23" s="1" customFormat="1" spans="1:11">
      <c r="A23" s="2"/>
      <c r="B23" s="2"/>
      <c r="H23" s="11" t="s">
        <v>54</v>
      </c>
      <c r="I23" s="11" t="str">
        <f>IFERROR(I22-I20,"")</f>
        <v/>
      </c>
    </row>
    <row r="24" s="1" customFormat="1" spans="1:11">
      <c r="A24" s="2"/>
      <c r="B24" s="2"/>
      <c r="H24" s="17" t="s">
        <v>56</v>
      </c>
      <c r="I24" s="17" t="str">
        <f>IFERROR(I23*I9,"")</f>
        <v/>
      </c>
    </row>
    <row r="25" s="1" customFormat="1" spans="1:11">
      <c r="A25" s="2"/>
      <c r="B25" s="2"/>
    </row>
    <row r="26" s="1" customFormat="1" spans="1:11">
      <c r="A26" s="2"/>
      <c r="B26" s="2"/>
    </row>
    <row r="27" s="1" customFormat="1" spans="1:11">
      <c r="A27" s="2"/>
      <c r="B27" s="2"/>
    </row>
    <row r="28" s="1" customFormat="1" spans="1:11">
      <c r="A28" s="2"/>
      <c r="B28" s="2"/>
    </row>
    <row r="29" s="1" customFormat="1" spans="1:11">
      <c r="A29" s="2"/>
      <c r="B29" s="2"/>
    </row>
    <row r="30" s="1" customFormat="1" spans="1:11">
      <c r="A30" s="2"/>
      <c r="B30" s="2"/>
    </row>
    <row r="31" s="1" customFormat="1" spans="1:11">
      <c r="A31" s="2"/>
      <c r="B31" s="2"/>
    </row>
    <row r="32" s="1" customFormat="1" spans="1:11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  <row r="38" s="1" customFormat="1" spans="1:2">
      <c r="A38" s="2"/>
      <c r="B38" s="2"/>
    </row>
    <row r="39" s="1" customFormat="1" spans="1:2">
      <c r="A39" s="2"/>
      <c r="B39" s="2"/>
    </row>
    <row r="40" s="1" customFormat="1" spans="1:2">
      <c r="A40" s="2"/>
      <c r="B40" s="2"/>
    </row>
    <row r="41" s="1" customFormat="1" spans="1:2">
      <c r="A41" s="2"/>
      <c r="B41" s="2"/>
    </row>
    <row r="42" s="1" customFormat="1" spans="1:2">
      <c r="A42" s="2"/>
      <c r="B42" s="2"/>
    </row>
    <row r="43" s="1" customFormat="1" spans="1:2">
      <c r="A43" s="2"/>
      <c r="B43" s="2"/>
    </row>
    <row r="44" s="1" customFormat="1" spans="1:2">
      <c r="A44" s="2"/>
      <c r="B44" s="2"/>
    </row>
    <row r="45" s="1" customFormat="1" spans="1:2">
      <c r="A45" s="2"/>
      <c r="B45" s="2"/>
    </row>
    <row r="46" s="1" customFormat="1" spans="1:2">
      <c r="A46" s="2"/>
      <c r="B46" s="2"/>
    </row>
    <row r="47" s="1" customFormat="1" spans="1:2">
      <c r="A47" s="2"/>
      <c r="B47" s="2"/>
    </row>
    <row r="48" s="1" customFormat="1" spans="1:2">
      <c r="A48" s="2"/>
      <c r="B48" s="2"/>
    </row>
    <row r="49" s="1" customFormat="1" spans="1:2">
      <c r="A49" s="2"/>
      <c r="B49" s="2"/>
    </row>
    <row r="50" s="1" customFormat="1" spans="1:2">
      <c r="A50" s="2"/>
      <c r="B50" s="2"/>
    </row>
    <row r="51" s="1" customFormat="1" spans="1:2">
      <c r="A51" s="2"/>
      <c r="B51" s="2"/>
    </row>
    <row r="52" s="1" customFormat="1" spans="1:2">
      <c r="A52" s="2"/>
      <c r="B52" s="2"/>
    </row>
    <row r="53" s="1" customFormat="1" spans="1:2">
      <c r="A53" s="2"/>
      <c r="B53" s="2"/>
    </row>
    <row r="54" s="1" customFormat="1" spans="1:2">
      <c r="A54" s="2"/>
      <c r="B54" s="2"/>
    </row>
    <row r="55" s="1" customFormat="1" spans="1:2">
      <c r="A55" s="2"/>
      <c r="B55" s="2"/>
    </row>
    <row r="56" s="1" customFormat="1" spans="1:2">
      <c r="A56" s="2"/>
      <c r="B56" s="2"/>
    </row>
    <row r="57" s="1" customFormat="1" spans="1:2">
      <c r="A57" s="2"/>
      <c r="B57" s="2"/>
    </row>
    <row r="58" s="1" customFormat="1" spans="1:2">
      <c r="A58" s="2"/>
      <c r="B58" s="2"/>
    </row>
  </sheetData>
  <autoFilter xmlns:etc="http://www.wps.cn/officeDocument/2017/etCustomData" ref="A1:F16" etc:filterBottomFollowUsedRange="0">
    <sortState ref="A1:F16">
      <sortCondition ref="D1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selection activeCell="A1" sqref="A1:B1"/>
    </sheetView>
  </sheetViews>
  <sheetFormatPr defaultColWidth="9.81818181818182" defaultRowHeight="14"/>
  <cols>
    <col min="1" max="1" width="25.0909090909091" style="2" customWidth="1"/>
    <col min="2" max="2" width="12.7727272727273" style="2" customWidth="1"/>
    <col min="3" max="3" width="15.1818181818182" style="1"/>
    <col min="4" max="4" width="9.81818181818182" style="1"/>
    <col min="5" max="5" width="4.90909090909091" style="1" customWidth="1"/>
    <col min="6" max="6" width="24.0909090909091" style="1" customWidth="1"/>
    <col min="7" max="7" width="17.3636363636364" style="1" customWidth="1"/>
    <col min="8" max="16380" width="9.81818181818182" style="1"/>
    <col min="16381" max="16384" width="9.81818181818182" style="3"/>
  </cols>
  <sheetData>
    <row r="1" s="1" customFormat="1" spans="1:9">
      <c r="A1" s="4" t="s">
        <v>106</v>
      </c>
      <c r="B1" s="4" t="s">
        <v>115</v>
      </c>
      <c r="C1" s="4" t="s">
        <v>5</v>
      </c>
      <c r="D1" s="4" t="s">
        <v>6</v>
      </c>
      <c r="F1" s="5" t="s">
        <v>9</v>
      </c>
      <c r="G1" s="3"/>
    </row>
    <row r="2" s="1" customFormat="1" spans="1:9">
      <c r="A2" s="6" t="s">
        <v>25</v>
      </c>
      <c r="B2" s="7">
        <v>165</v>
      </c>
      <c r="C2" s="8">
        <f>IF(B2="不开标",0,ROUND(100*(G$7/B2),4))</f>
        <v>100</v>
      </c>
      <c r="D2" s="9">
        <f>IF(B2="不开标","",_xlfn.RANK.EQ(C2,C:C,0))</f>
        <v>1</v>
      </c>
      <c r="E2" s="10"/>
      <c r="F2" s="11" t="s">
        <v>21</v>
      </c>
      <c r="G2" s="12">
        <v>204</v>
      </c>
      <c r="H2" s="10"/>
      <c r="I2" s="10"/>
    </row>
    <row r="3" s="1" customFormat="1" spans="1:9">
      <c r="A3" s="6" t="s">
        <v>22</v>
      </c>
      <c r="B3" s="7">
        <v>167</v>
      </c>
      <c r="C3" s="8">
        <f t="shared" ref="C3:C16" si="0">IF(B3="不开标",0,ROUND(100*(G$7/B3),4))</f>
        <v>98.8024</v>
      </c>
      <c r="D3" s="9">
        <f t="shared" ref="D3:D16" si="1">IF(B3="不开标","",_xlfn.RANK.EQ(C3,C:C,0))</f>
        <v>2</v>
      </c>
      <c r="E3" s="10"/>
      <c r="F3" s="11" t="s">
        <v>23</v>
      </c>
      <c r="G3" s="13">
        <v>0.4</v>
      </c>
      <c r="H3" s="10"/>
      <c r="I3" s="10"/>
    </row>
    <row r="4" s="1" customFormat="1" spans="1:9">
      <c r="A4" s="6" t="s">
        <v>32</v>
      </c>
      <c r="B4" s="7">
        <v>175</v>
      </c>
      <c r="C4" s="8">
        <f t="shared" si="0"/>
        <v>94.2857</v>
      </c>
      <c r="D4" s="9">
        <f t="shared" si="1"/>
        <v>3</v>
      </c>
      <c r="E4" s="14"/>
      <c r="F4" s="1"/>
      <c r="G4" s="1"/>
      <c r="H4" s="14"/>
      <c r="I4" s="14"/>
    </row>
    <row r="5" s="1" customFormat="1" spans="1:9">
      <c r="A5" s="6" t="s">
        <v>26</v>
      </c>
      <c r="B5" s="7">
        <v>185</v>
      </c>
      <c r="C5" s="8">
        <f t="shared" si="0"/>
        <v>89.1892</v>
      </c>
      <c r="D5" s="9">
        <f t="shared" si="1"/>
        <v>4</v>
      </c>
      <c r="E5" s="10"/>
      <c r="F5" s="5" t="s">
        <v>27</v>
      </c>
      <c r="G5" s="3"/>
      <c r="H5" s="10"/>
      <c r="I5" s="10"/>
    </row>
    <row r="6" s="1" customFormat="1" spans="1:9">
      <c r="A6" s="6" t="s">
        <v>16</v>
      </c>
      <c r="B6" s="7">
        <v>188</v>
      </c>
      <c r="C6" s="8">
        <f t="shared" si="0"/>
        <v>87.766</v>
      </c>
      <c r="D6" s="9">
        <f t="shared" si="1"/>
        <v>5</v>
      </c>
      <c r="E6" s="10"/>
      <c r="F6" s="11" t="s">
        <v>29</v>
      </c>
      <c r="G6" s="15">
        <f>COUNTA(B:B)-1</f>
        <v>15</v>
      </c>
      <c r="H6" s="10"/>
      <c r="I6" s="10"/>
    </row>
    <row r="7" s="1" customFormat="1" spans="1:9">
      <c r="A7" s="6" t="s">
        <v>20</v>
      </c>
      <c r="B7" s="7">
        <v>189</v>
      </c>
      <c r="C7" s="8">
        <f t="shared" si="0"/>
        <v>87.3016</v>
      </c>
      <c r="D7" s="9">
        <f t="shared" si="1"/>
        <v>6</v>
      </c>
      <c r="E7" s="10"/>
      <c r="F7" s="11" t="s">
        <v>127</v>
      </c>
      <c r="G7" s="16">
        <f t="array" ref="G7">MIN(B:B)</f>
        <v>165</v>
      </c>
      <c r="H7" s="10"/>
      <c r="I7" s="10"/>
    </row>
    <row r="8" s="1" customFormat="1" spans="1:9">
      <c r="A8" s="6" t="s">
        <v>34</v>
      </c>
      <c r="B8" s="7">
        <v>189.5</v>
      </c>
      <c r="C8" s="8">
        <f t="shared" si="0"/>
        <v>87.0712</v>
      </c>
      <c r="D8" s="9">
        <f t="shared" si="1"/>
        <v>7</v>
      </c>
      <c r="E8" s="10"/>
      <c r="F8" s="17" t="s">
        <v>41</v>
      </c>
      <c r="G8" s="18">
        <f>G7/G2</f>
        <v>0.808823529411765</v>
      </c>
      <c r="H8" s="10"/>
      <c r="I8" s="10"/>
    </row>
    <row r="9" s="1" customFormat="1" spans="1:9">
      <c r="A9" s="6" t="s">
        <v>24</v>
      </c>
      <c r="B9" s="7">
        <v>193</v>
      </c>
      <c r="C9" s="8">
        <f t="shared" si="0"/>
        <v>85.4922</v>
      </c>
      <c r="D9" s="9">
        <f t="shared" si="1"/>
        <v>8</v>
      </c>
      <c r="E9" s="10"/>
      <c r="H9" s="10"/>
      <c r="I9" s="10"/>
    </row>
    <row r="10" s="1" customFormat="1" spans="1:9">
      <c r="A10" s="6" t="s">
        <v>28</v>
      </c>
      <c r="B10" s="7">
        <v>194</v>
      </c>
      <c r="C10" s="8">
        <f t="shared" si="0"/>
        <v>85.0515</v>
      </c>
      <c r="D10" s="9">
        <f t="shared" si="1"/>
        <v>9</v>
      </c>
      <c r="E10" s="10"/>
      <c r="F10" s="5" t="s">
        <v>44</v>
      </c>
      <c r="G10" s="3"/>
      <c r="H10" s="10"/>
      <c r="I10" s="10"/>
    </row>
    <row r="11" s="1" customFormat="1" spans="1:9">
      <c r="A11" s="6" t="s">
        <v>36</v>
      </c>
      <c r="B11" s="7">
        <v>195</v>
      </c>
      <c r="C11" s="8">
        <f t="shared" si="0"/>
        <v>84.6154</v>
      </c>
      <c r="D11" s="9">
        <f t="shared" si="1"/>
        <v>10</v>
      </c>
      <c r="E11" s="10"/>
      <c r="F11" s="19" t="s">
        <v>46</v>
      </c>
      <c r="G11" s="20" t="str">
        <f>IFERROR(VLOOKUP(F11,#REF!,3,0),"")</f>
        <v/>
      </c>
      <c r="H11" s="10"/>
      <c r="I11" s="10"/>
    </row>
    <row r="12" s="1" customFormat="1" spans="1:9">
      <c r="A12" s="6" t="s">
        <v>10</v>
      </c>
      <c r="B12" s="21">
        <v>197.88</v>
      </c>
      <c r="C12" s="8">
        <f t="shared" si="0"/>
        <v>83.3839</v>
      </c>
      <c r="D12" s="9">
        <f t="shared" si="1"/>
        <v>11</v>
      </c>
      <c r="E12" s="10"/>
      <c r="F12" s="11" t="s">
        <v>48</v>
      </c>
      <c r="G12" s="11" t="str">
        <f>IFERROR(VLOOKUP(F$11,A:C,3,0),"")</f>
        <v/>
      </c>
      <c r="H12" s="10"/>
      <c r="I12" s="10"/>
    </row>
    <row r="13" s="1" customFormat="1" spans="1:9">
      <c r="A13" s="6" t="s">
        <v>18</v>
      </c>
      <c r="B13" s="7">
        <v>199</v>
      </c>
      <c r="C13" s="8">
        <f t="shared" si="0"/>
        <v>82.9146</v>
      </c>
      <c r="D13" s="9">
        <f t="shared" si="1"/>
        <v>12</v>
      </c>
      <c r="E13" s="10"/>
      <c r="F13" s="17" t="s">
        <v>50</v>
      </c>
      <c r="G13" s="17" t="str">
        <f>IFERROR(VLOOKUP(F$11,A:D,4,0),"")</f>
        <v/>
      </c>
      <c r="H13" s="10"/>
      <c r="I13" s="10"/>
    </row>
    <row r="14" s="1" customFormat="1" spans="1:9">
      <c r="A14" s="6" t="s">
        <v>30</v>
      </c>
      <c r="B14" s="7">
        <v>199.5</v>
      </c>
      <c r="C14" s="8">
        <f t="shared" si="0"/>
        <v>82.7068</v>
      </c>
      <c r="D14" s="9">
        <f t="shared" si="1"/>
        <v>13</v>
      </c>
      <c r="E14" s="10"/>
      <c r="F14" s="11" t="s">
        <v>52</v>
      </c>
      <c r="G14" s="22">
        <f t="array" ref="G14">MAX(C:C)</f>
        <v>100</v>
      </c>
      <c r="H14" s="10"/>
      <c r="I14" s="10"/>
    </row>
    <row r="15" s="1" customFormat="1" spans="1:9">
      <c r="A15" s="6" t="s">
        <v>12</v>
      </c>
      <c r="B15" s="7">
        <v>200.226</v>
      </c>
      <c r="C15" s="8">
        <f t="shared" si="0"/>
        <v>82.4069</v>
      </c>
      <c r="D15" s="9">
        <f t="shared" si="1"/>
        <v>14</v>
      </c>
      <c r="E15" s="10"/>
      <c r="F15" s="11" t="s">
        <v>54</v>
      </c>
      <c r="G15" s="11" t="str">
        <f>IFERROR(G14-G12,"")</f>
        <v/>
      </c>
      <c r="H15" s="10"/>
      <c r="I15" s="10"/>
    </row>
    <row r="16" s="1" customFormat="1" spans="1:9">
      <c r="A16" s="6" t="s">
        <v>14</v>
      </c>
      <c r="B16" s="7">
        <v>202.011</v>
      </c>
      <c r="C16" s="8">
        <f t="shared" si="0"/>
        <v>81.6787</v>
      </c>
      <c r="D16" s="9">
        <f t="shared" si="1"/>
        <v>15</v>
      </c>
      <c r="E16" s="10"/>
      <c r="F16" s="17" t="s">
        <v>56</v>
      </c>
      <c r="G16" s="17" t="str">
        <f>IFERROR(G15*G3,"")</f>
        <v/>
      </c>
      <c r="H16" s="10"/>
      <c r="I16" s="10"/>
    </row>
    <row r="17" s="1" customFormat="1" spans="1:9">
      <c r="A17" s="2"/>
      <c r="B17" s="2"/>
      <c r="E17" s="23"/>
      <c r="H17" s="23"/>
      <c r="I17" s="23"/>
    </row>
    <row r="18" s="1" customFormat="1" spans="1:9">
      <c r="A18" s="2"/>
      <c r="B18" s="2"/>
      <c r="E18" s="23"/>
      <c r="H18" s="23"/>
      <c r="I18" s="23"/>
    </row>
    <row r="19" s="1" customFormat="1" spans="1:9">
      <c r="A19" s="2"/>
      <c r="B19" s="2"/>
      <c r="E19" s="23"/>
      <c r="H19" s="23"/>
      <c r="I19" s="23"/>
    </row>
    <row r="20" s="1" customFormat="1" spans="1:9">
      <c r="A20" s="2"/>
      <c r="B20" s="2"/>
      <c r="E20" s="23"/>
      <c r="H20" s="23"/>
      <c r="I20" s="23"/>
    </row>
    <row r="21" s="1" customFormat="1" spans="1:9">
      <c r="A21" s="2"/>
      <c r="B21" s="2"/>
    </row>
    <row r="22" s="1" customFormat="1" spans="1:9">
      <c r="A22" s="2"/>
      <c r="B22" s="2"/>
    </row>
    <row r="23" s="1" customFormat="1" spans="1:9">
      <c r="A23" s="2"/>
      <c r="B23" s="2"/>
    </row>
    <row r="24" s="1" customFormat="1" spans="1:9">
      <c r="A24" s="2"/>
      <c r="B24" s="2"/>
    </row>
    <row r="25" s="1" customFormat="1" spans="1:9">
      <c r="A25" s="2"/>
      <c r="B25" s="2"/>
    </row>
    <row r="26" s="1" customFormat="1" spans="1:9">
      <c r="A26" s="2"/>
      <c r="B26" s="2"/>
    </row>
    <row r="27" s="1" customFormat="1" spans="1:9">
      <c r="A27" s="2"/>
      <c r="B27" s="2"/>
    </row>
    <row r="28" s="1" customFormat="1" spans="1:9">
      <c r="A28" s="2"/>
      <c r="B28" s="2"/>
    </row>
    <row r="29" s="1" customFormat="1" spans="1:9">
      <c r="A29" s="2"/>
      <c r="B29" s="2"/>
    </row>
    <row r="30" s="1" customFormat="1" spans="1:9">
      <c r="A30" s="2"/>
      <c r="B30" s="2"/>
    </row>
    <row r="31" s="1" customFormat="1" spans="1:9">
      <c r="A31" s="2"/>
      <c r="B31" s="2"/>
    </row>
    <row r="32" s="1" customFormat="1" spans="1:9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  <row r="38" s="1" customFormat="1" spans="1:2">
      <c r="A38" s="2"/>
      <c r="B38" s="2"/>
    </row>
    <row r="39" s="1" customFormat="1" spans="1:2">
      <c r="A39" s="2"/>
      <c r="B39" s="2"/>
    </row>
    <row r="40" s="1" customFormat="1" spans="1:2">
      <c r="A40" s="2"/>
      <c r="B40" s="2"/>
    </row>
    <row r="41" s="1" customFormat="1" spans="1:2">
      <c r="A41" s="2"/>
      <c r="B41" s="2"/>
    </row>
    <row r="42" s="1" customFormat="1" spans="1:2">
      <c r="A42" s="2"/>
      <c r="B42" s="2"/>
    </row>
    <row r="43" s="1" customFormat="1" spans="1:2">
      <c r="A43" s="2"/>
      <c r="B43" s="2"/>
    </row>
    <row r="44" s="1" customFormat="1" spans="1:2">
      <c r="A44" s="2"/>
      <c r="B44" s="2"/>
    </row>
    <row r="45" s="1" customFormat="1" spans="1:2">
      <c r="A45" s="2"/>
      <c r="B45" s="2"/>
    </row>
    <row r="46" s="1" customFormat="1" spans="1:2">
      <c r="A46" s="2"/>
      <c r="B46" s="2"/>
    </row>
    <row r="47" s="1" customFormat="1" spans="1:2">
      <c r="A47" s="2"/>
      <c r="B47" s="2"/>
    </row>
    <row r="48" s="1" customFormat="1" spans="1:2">
      <c r="A48" s="2"/>
      <c r="B48" s="2"/>
    </row>
    <row r="49" s="1" customFormat="1" spans="1:2">
      <c r="A49" s="2"/>
      <c r="B49" s="2"/>
    </row>
    <row r="50" s="1" customFormat="1" spans="1:2">
      <c r="A50" s="2"/>
      <c r="B50" s="2"/>
    </row>
    <row r="51" s="1" customFormat="1" spans="1:2">
      <c r="A51" s="2"/>
      <c r="B51" s="2"/>
    </row>
    <row r="52" s="1" customFormat="1" spans="1:2">
      <c r="A52" s="2"/>
      <c r="B52" s="2"/>
    </row>
    <row r="53" s="1" customFormat="1" spans="1:2">
      <c r="A53" s="2"/>
      <c r="B53" s="2"/>
    </row>
    <row r="54" s="1" customFormat="1" spans="1:2">
      <c r="A54" s="2"/>
      <c r="B54" s="2"/>
    </row>
    <row r="55" s="1" customFormat="1" spans="1:2">
      <c r="A55" s="2"/>
      <c r="B55" s="2"/>
    </row>
    <row r="56" s="1" customFormat="1" spans="1:2">
      <c r="A56" s="2"/>
      <c r="B56" s="2"/>
    </row>
    <row r="57" s="1" customFormat="1" spans="1:2">
      <c r="A57" s="2"/>
      <c r="B57" s="2"/>
    </row>
    <row r="58" s="1" customFormat="1" spans="1:2">
      <c r="A58" s="2"/>
      <c r="B58" s="2"/>
    </row>
  </sheetData>
  <autoFilter xmlns:etc="http://www.wps.cn/officeDocument/2017/etCustomData" ref="A1:D16" etc:filterBottomFollowUsedRange="0">
    <sortState ref="A1:D16">
      <sortCondition ref="D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区间平均价浮动法</vt:lpstr>
      <vt:lpstr>区间平均价浮动法（折扣率）</vt:lpstr>
      <vt:lpstr>区间复合平均价法（次低价平均)</vt:lpstr>
      <vt:lpstr>区间复合一次平均价法</vt:lpstr>
      <vt:lpstr>区间复合平均价浮动法</vt:lpstr>
      <vt:lpstr>简单算术平均值法</vt:lpstr>
      <vt:lpstr>算术平均值下浮法</vt:lpstr>
      <vt:lpstr>区间平均下浮双边曲线算法</vt:lpstr>
      <vt:lpstr>最低价法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何娟</cp:lastModifiedBy>
  <dcterms:created xsi:type="dcterms:W3CDTF">2006-09-16T00:00:00Z</dcterms:created>
  <cp:lastPrinted>2024-04-14T07:48:00Z</cp:lastPrinted>
  <dcterms:modified xsi:type="dcterms:W3CDTF">2026-05-21T02:02:17Z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55C550CAE33242899341A2744E6C089B_13</vt:lpwstr>
  </property>
  <property fmtid="{D5CDD505-2E9C-101B-9397-08002B2CF9AE}" pid="4" name="CalculationRule">
    <vt:i4>0</vt:i4>
  </property>
</Properties>
</file>