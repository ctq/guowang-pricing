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 tabRatio="804" activeTab="1"/>
  </bookViews>
  <sheets>
    <sheet name="说明" sheetId="54" r:id="rId1"/>
    <sheet name="区间平均价浮动法" sheetId="43" r:id="rId2"/>
    <sheet name="区间平均价浮动法（折扣率）" sheetId="31" r:id="rId3"/>
    <sheet name="区间复合平均价法（次低价平均)" sheetId="44" r:id="rId4"/>
    <sheet name="区间复合一次平均价法" sheetId="48" r:id="rId5"/>
    <sheet name="区间复合平均价浮动法" sheetId="53" r:id="rId6"/>
    <sheet name="简单算术平均值法" sheetId="46" r:id="rId7"/>
    <sheet name="算术平均值下浮法" sheetId="47" r:id="rId8"/>
    <sheet name="区间平均下浮双边曲线算法" sheetId="55" r:id="rId9"/>
    <sheet name="最低价法" sheetId="56" r:id="rId10"/>
  </sheets>
  <definedNames>
    <definedName name="_xlnm._FilterDatabase" localSheetId="1" hidden="1">区间平均价浮动法!$A$1:$G$70</definedName>
    <definedName name="_xlnm._FilterDatabase" localSheetId="2" hidden="1">'区间平均价浮动法（折扣率）'!$A$1:$G$70</definedName>
    <definedName name="_xlnm._FilterDatabase" localSheetId="3" hidden="1">'区间复合平均价法（次低价平均)'!$A$1:$E$48</definedName>
    <definedName name="_xlnm._FilterDatabase" localSheetId="4" hidden="1">区间复合一次平均价法!$A$1:$E$12</definedName>
    <definedName name="_xlnm._FilterDatabase" localSheetId="5" hidden="1">区间复合平均价浮动法!$A$1:$E$35</definedName>
    <definedName name="_xlnm._FilterDatabase" localSheetId="6" hidden="1">简单算术平均值法!$A$1:$D$16</definedName>
    <definedName name="_xlnm._FilterDatabase" localSheetId="7" hidden="1">算术平均值下浮法!$A$1:$D$16</definedName>
    <definedName name="_xlnm._FilterDatabase" localSheetId="8" hidden="1">区间平均下浮双边曲线算法!$A$1:$F$16</definedName>
    <definedName name="_xlnm._FilterDatabase" localSheetId="9" hidden="1">最低价法!$A$1:$D$16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likeh</author>
  </authors>
  <commentList>
    <comment ref="J6" authorId="0">
      <text>
        <r>
          <rPr>
            <b/>
            <sz val="9"/>
            <rFont val="宋体"/>
            <charset val="134"/>
          </rPr>
          <t>likeh:</t>
        </r>
        <r>
          <rPr>
            <sz val="9"/>
            <rFont val="宋体"/>
            <charset val="134"/>
          </rPr>
          <t xml:space="preserve">
c值一般看招标文件或者ecp2.0平台公示</t>
        </r>
      </text>
    </comment>
  </commentList>
</comments>
</file>

<file path=xl/sharedStrings.xml><?xml version="1.0" encoding="utf-8"?>
<sst xmlns="http://schemas.openxmlformats.org/spreadsheetml/2006/main" count="431" uniqueCount="121">
  <si>
    <t>填入招标文件或ECP公示的价格分相关的参数</t>
  </si>
  <si>
    <t>公式自动计算所得</t>
  </si>
  <si>
    <t>突出显示关键开标指标</t>
  </si>
  <si>
    <t>投标人名称</t>
  </si>
  <si>
    <t>投标价格</t>
  </si>
  <si>
    <t>得分</t>
  </si>
  <si>
    <t>排名</t>
  </si>
  <si>
    <t>去掉极值</t>
  </si>
  <si>
    <t>去范围外</t>
  </si>
  <si>
    <t>参数：需按招标文件手工填入</t>
  </si>
  <si>
    <t>投标人23</t>
  </si>
  <si>
    <t>w1</t>
  </si>
  <si>
    <t>投标人21</t>
  </si>
  <si>
    <t>w2</t>
  </si>
  <si>
    <t>投标人20</t>
  </si>
  <si>
    <t>n1</t>
  </si>
  <si>
    <t>投标人18</t>
  </si>
  <si>
    <t>n2</t>
  </si>
  <si>
    <t>投标人17</t>
  </si>
  <si>
    <t>c</t>
  </si>
  <si>
    <t>投标人15</t>
  </si>
  <si>
    <t>限价</t>
  </si>
  <si>
    <t>投标人14</t>
  </si>
  <si>
    <t>价格分占比</t>
  </si>
  <si>
    <t>投标人13</t>
  </si>
  <si>
    <t>投标人12</t>
  </si>
  <si>
    <t>投标人3</t>
  </si>
  <si>
    <t>辅助计算</t>
  </si>
  <si>
    <t>投标人1</t>
  </si>
  <si>
    <t>投标人数量</t>
  </si>
  <si>
    <t>投标人2</t>
  </si>
  <si>
    <t>A1</t>
  </si>
  <si>
    <t>投标人4</t>
  </si>
  <si>
    <t>有效报价下限</t>
  </si>
  <si>
    <t>投标人5</t>
  </si>
  <si>
    <t>有效报价上限</t>
  </si>
  <si>
    <t>投标人6</t>
  </si>
  <si>
    <t>A2</t>
  </si>
  <si>
    <t>投标人7</t>
  </si>
  <si>
    <t>基准价B</t>
  </si>
  <si>
    <t>投标人8</t>
  </si>
  <si>
    <t>基准价折扣率</t>
  </si>
  <si>
    <t>投标人9</t>
  </si>
  <si>
    <t>投标人10</t>
  </si>
  <si>
    <t>目标公司价格得分分析</t>
  </si>
  <si>
    <t>投标人11</t>
  </si>
  <si>
    <t>填入投标主体公司全称</t>
  </si>
  <si>
    <t>投标人16</t>
  </si>
  <si>
    <t>目标公司得分</t>
  </si>
  <si>
    <t>投标人19</t>
  </si>
  <si>
    <t>目标公司排名</t>
  </si>
  <si>
    <t>投标人22</t>
  </si>
  <si>
    <t>第1名得分</t>
  </si>
  <si>
    <t>投标人24</t>
  </si>
  <si>
    <t>价格分差</t>
  </si>
  <si>
    <t>投标人25</t>
  </si>
  <si>
    <t>不开标</t>
  </si>
  <si>
    <t>按价格分占比折算后分差</t>
  </si>
  <si>
    <t>投标人50</t>
  </si>
  <si>
    <t>区间下限</t>
  </si>
  <si>
    <t>投标人48</t>
  </si>
  <si>
    <t>区间上限</t>
  </si>
  <si>
    <t>投标人49</t>
  </si>
  <si>
    <t>投标人46</t>
  </si>
  <si>
    <t>投标人52</t>
  </si>
  <si>
    <t>投标人43</t>
  </si>
  <si>
    <t>包限价</t>
  </si>
  <si>
    <t>投标人44</t>
  </si>
  <si>
    <t>投标人45</t>
  </si>
  <si>
    <t>投标人42</t>
  </si>
  <si>
    <t>投标人41</t>
  </si>
  <si>
    <t>投标人35</t>
  </si>
  <si>
    <t>M</t>
  </si>
  <si>
    <t>投标人36</t>
  </si>
  <si>
    <t>投标人37</t>
  </si>
  <si>
    <t>投标人38</t>
  </si>
  <si>
    <t>投标人34</t>
  </si>
  <si>
    <t>A2基准价</t>
  </si>
  <si>
    <t>投标人33</t>
  </si>
  <si>
    <t>投标人31</t>
  </si>
  <si>
    <t>投标人26</t>
  </si>
  <si>
    <t>投标人</t>
  </si>
  <si>
    <t>报价</t>
  </si>
  <si>
    <t>去处极端值</t>
  </si>
  <si>
    <t>P个有效投标人</t>
  </si>
  <si>
    <t>m（报价&gt;=基准价）</t>
  </si>
  <si>
    <t>m（报价&lt;基准价）</t>
  </si>
  <si>
    <t>n</t>
  </si>
  <si>
    <t>P个投标人里的最低值</t>
  </si>
  <si>
    <t>A3基准价/A4</t>
  </si>
  <si>
    <t>投标人51</t>
  </si>
  <si>
    <t>投标人53</t>
  </si>
  <si>
    <t>投标人54</t>
  </si>
  <si>
    <t>投标人55</t>
  </si>
  <si>
    <t>投标人56</t>
  </si>
  <si>
    <t>投标人57</t>
  </si>
  <si>
    <t>投标人58</t>
  </si>
  <si>
    <t>投标人59</t>
  </si>
  <si>
    <t>投标人60</t>
  </si>
  <si>
    <t>投标人61</t>
  </si>
  <si>
    <t>投标人62</t>
  </si>
  <si>
    <t>投标人63</t>
  </si>
  <si>
    <t>投标人64</t>
  </si>
  <si>
    <t>投标价</t>
  </si>
  <si>
    <t>去除上下限</t>
  </si>
  <si>
    <t>价格得分</t>
  </si>
  <si>
    <t>是否有效</t>
  </si>
  <si>
    <t>a</t>
  </si>
  <si>
    <t>b</t>
  </si>
  <si>
    <t>算术平均值</t>
  </si>
  <si>
    <t>基准价</t>
  </si>
  <si>
    <t>投标人27</t>
  </si>
  <si>
    <t>投标人28</t>
  </si>
  <si>
    <t>投标人30</t>
  </si>
  <si>
    <t>投标人32</t>
  </si>
  <si>
    <t>投标人29</t>
  </si>
  <si>
    <t>是否范围内</t>
  </si>
  <si>
    <t>F1</t>
  </si>
  <si>
    <t>F2</t>
  </si>
  <si>
    <t>m</t>
  </si>
  <si>
    <t>基准价（即最低价）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</si>
</sst>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000_ ;_ * \-#,##0.000000_ ;_ * &quot;-&quot;??.0000_ ;_ @_ "/>
    <numFmt numFmtId="177" formatCode="0.0000_ "/>
    <numFmt numFmtId="178" formatCode="0.000%"/>
    <numFmt numFmtId="179" formatCode="_ * #,##0.000000_ ;_ * \-#,##0.000000_ ;_ * &quot;-&quot;??_ ;_ @_ "/>
    <numFmt numFmtId="180" formatCode="0.0000%"/>
    <numFmt numFmtId="181" formatCode="0.0%"/>
    <numFmt numFmtId="182" formatCode="_ * #,##0.0000_ ;_ * \-#,##0.0000_ ;_ * &quot;-&quot;??.00_ ;_ @_ "/>
    <numFmt numFmtId="183" formatCode="_ * #,##0.0000_ ;_ * \-#,##0.0000_ ;_ * &quot;-&quot;??_ ;_ @_ "/>
    <numFmt numFmtId="184" formatCode="0.0000"/>
    <numFmt numFmtId="185" formatCode="0_);[Red]\(0\)"/>
    <numFmt numFmtId="186" formatCode="0.000000"/>
    <numFmt numFmtId="187" formatCode="_ * #,##0.0_ ;_ * \-#,##0.0_ ;_ 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rgb="FF000000"/>
      <name val="SimSun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</font>
    <font>
      <sz val="12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25" fillId="0" borderId="0"/>
    <xf numFmtId="0" fontId="26" fillId="0" borderId="0">
      <alignment vertical="center"/>
    </xf>
    <xf numFmtId="0" fontId="27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0" fillId="0" borderId="0"/>
    <xf numFmtId="0" fontId="27" fillId="0" borderId="0"/>
    <xf numFmtId="0" fontId="25" fillId="0" borderId="0"/>
    <xf numFmtId="43" fontId="0" fillId="0" borderId="0" applyFont="0" applyFill="0" applyBorder="0" applyAlignment="0" applyProtection="0">
      <alignment vertical="center"/>
    </xf>
    <xf numFmtId="0" fontId="28" fillId="0" borderId="0"/>
  </cellStyleXfs>
  <cellXfs count="70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0" fillId="2" borderId="0" xfId="0" applyNumberFormat="1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3" applyNumberFormat="1" applyFont="1">
      <alignment vertical="center"/>
    </xf>
    <xf numFmtId="0" fontId="0" fillId="0" borderId="1" xfId="0" applyBorder="1" applyAlignment="1">
      <alignment vertical="center"/>
    </xf>
    <xf numFmtId="43" fontId="0" fillId="2" borderId="1" xfId="1" applyFont="1" applyFill="1" applyBorder="1">
      <alignment vertical="center"/>
    </xf>
    <xf numFmtId="9" fontId="0" fillId="2" borderId="1" xfId="3" applyFont="1" applyFill="1" applyBorder="1">
      <alignment vertical="center"/>
    </xf>
    <xf numFmtId="178" fontId="0" fillId="0" borderId="0" xfId="3" applyNumberFormat="1" applyFont="1">
      <alignment vertical="center"/>
    </xf>
    <xf numFmtId="0" fontId="2" fillId="3" borderId="1" xfId="0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0" fontId="2" fillId="4" borderId="1" xfId="3" applyNumberFormat="1" applyFont="1" applyFill="1" applyBorder="1" applyAlignment="1">
      <alignment vertical="center"/>
    </xf>
    <xf numFmtId="179" fontId="0" fillId="2" borderId="1" xfId="1" applyNumberFormat="1" applyFont="1" applyFill="1" applyBorder="1">
      <alignment vertical="center"/>
    </xf>
    <xf numFmtId="176" fontId="0" fillId="0" borderId="1" xfId="1" applyNumberFormat="1" applyFont="1" applyFill="1" applyBorder="1">
      <alignment vertical="center"/>
    </xf>
    <xf numFmtId="176" fontId="0" fillId="2" borderId="0" xfId="1" applyNumberFormat="1" applyFont="1" applyFill="1">
      <alignment vertical="center"/>
    </xf>
    <xf numFmtId="176" fontId="0" fillId="0" borderId="1" xfId="0" applyNumberFormat="1" applyBorder="1" applyAlignment="1">
      <alignment vertical="center"/>
    </xf>
    <xf numFmtId="180" fontId="0" fillId="0" borderId="0" xfId="3" applyNumberFormat="1" applyFont="1">
      <alignment vertical="center"/>
    </xf>
    <xf numFmtId="181" fontId="0" fillId="2" borderId="1" xfId="3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1" xfId="3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76" fontId="0" fillId="2" borderId="0" xfId="3" applyNumberFormat="1" applyFont="1" applyFill="1" applyBorder="1" applyAlignment="1">
      <alignment vertical="center"/>
    </xf>
    <xf numFmtId="182" fontId="0" fillId="0" borderId="0" xfId="0" applyNumberFormat="1" applyAlignment="1">
      <alignment vertical="center"/>
    </xf>
    <xf numFmtId="10" fontId="0" fillId="0" borderId="0" xfId="3" applyNumberFormat="1" applyFont="1" applyFill="1">
      <alignment vertical="center"/>
    </xf>
    <xf numFmtId="9" fontId="0" fillId="2" borderId="1" xfId="0" applyNumberFormat="1" applyFill="1" applyBorder="1" applyAlignment="1">
      <alignment vertical="center"/>
    </xf>
    <xf numFmtId="9" fontId="0" fillId="2" borderId="1" xfId="3" applyFill="1" applyBorder="1" applyAlignment="1">
      <alignment vertical="center"/>
    </xf>
    <xf numFmtId="176" fontId="2" fillId="3" borderId="1" xfId="3" applyNumberFormat="1" applyFont="1" applyFill="1" applyBorder="1" applyProtection="1">
      <alignment vertical="center"/>
    </xf>
    <xf numFmtId="0" fontId="0" fillId="0" borderId="0" xfId="0" applyAlignment="1">
      <alignment vertical="center" wrapText="1"/>
    </xf>
    <xf numFmtId="183" fontId="0" fillId="2" borderId="0" xfId="1" applyNumberFormat="1" applyFont="1" applyFill="1">
      <alignment vertical="center"/>
    </xf>
    <xf numFmtId="184" fontId="0" fillId="0" borderId="0" xfId="0" applyNumberFormat="1" applyAlignment="1">
      <alignment vertical="center"/>
    </xf>
    <xf numFmtId="183" fontId="0" fillId="2" borderId="1" xfId="1" applyNumberFormat="1" applyFont="1" applyFill="1" applyBorder="1">
      <alignment vertical="center"/>
    </xf>
    <xf numFmtId="9" fontId="0" fillId="2" borderId="0" xfId="3" applyFont="1" applyFill="1" applyBorder="1">
      <alignment vertical="center"/>
    </xf>
    <xf numFmtId="185" fontId="0" fillId="3" borderId="1" xfId="1" applyNumberFormat="1" applyFont="1" applyFill="1" applyBorder="1" applyProtection="1">
      <alignment vertical="center"/>
    </xf>
    <xf numFmtId="186" fontId="0" fillId="0" borderId="0" xfId="0" applyNumberFormat="1" applyAlignment="1">
      <alignment vertical="center"/>
    </xf>
    <xf numFmtId="176" fontId="0" fillId="3" borderId="1" xfId="0" applyNumberFormat="1" applyFill="1" applyBorder="1" applyAlignment="1">
      <alignment vertical="center"/>
    </xf>
    <xf numFmtId="176" fontId="0" fillId="3" borderId="1" xfId="3" applyNumberFormat="1" applyFont="1" applyFill="1" applyBorder="1" applyProtection="1">
      <alignment vertical="center"/>
    </xf>
    <xf numFmtId="176" fontId="0" fillId="3" borderId="1" xfId="3" applyNumberFormat="1" applyFont="1" applyFill="1" applyBorder="1">
      <alignment vertical="center"/>
    </xf>
    <xf numFmtId="10" fontId="0" fillId="4" borderId="1" xfId="3" applyNumberFormat="1" applyFont="1" applyFill="1" applyBorder="1" applyAlignment="1">
      <alignment vertical="center"/>
    </xf>
    <xf numFmtId="43" fontId="0" fillId="2" borderId="0" xfId="1" applyFont="1" applyFill="1">
      <alignment vertical="center"/>
    </xf>
    <xf numFmtId="183" fontId="0" fillId="0" borderId="0" xfId="1" applyNumberFormat="1" applyFont="1" applyFill="1">
      <alignment vertical="center"/>
    </xf>
    <xf numFmtId="0" fontId="3" fillId="0" borderId="0" xfId="0" applyFont="1" applyAlignment="1">
      <alignment vertical="center"/>
    </xf>
    <xf numFmtId="43" fontId="1" fillId="0" borderId="0" xfId="1" applyFont="1" applyFill="1" applyAlignment="1">
      <alignment horizontal="center" vertical="center"/>
    </xf>
    <xf numFmtId="183" fontId="1" fillId="0" borderId="0" xfId="1" applyNumberFormat="1" applyFont="1" applyFill="1" applyAlignment="1">
      <alignment horizontal="center" vertical="center"/>
    </xf>
    <xf numFmtId="43" fontId="0" fillId="2" borderId="0" xfId="0" applyNumberFormat="1" applyFill="1" applyAlignment="1">
      <alignment vertical="center" wrapText="1"/>
    </xf>
    <xf numFmtId="0" fontId="0" fillId="0" borderId="2" xfId="0" applyBorder="1" applyAlignment="1">
      <alignment vertical="center"/>
    </xf>
    <xf numFmtId="43" fontId="0" fillId="3" borderId="1" xfId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180" fontId="0" fillId="2" borderId="0" xfId="3" applyNumberFormat="1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180" fontId="5" fillId="0" borderId="0" xfId="3" applyNumberFormat="1" applyFont="1" applyFill="1" applyBorder="1" applyAlignment="1" applyProtection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87" fontId="0" fillId="2" borderId="1" xfId="1" applyNumberFormat="1" applyFont="1" applyFill="1" applyBorder="1">
      <alignment vertical="center"/>
    </xf>
    <xf numFmtId="180" fontId="0" fillId="2" borderId="1" xfId="3" applyNumberFormat="1" applyFont="1" applyFill="1" applyBorder="1">
      <alignment vertical="center"/>
    </xf>
    <xf numFmtId="185" fontId="0" fillId="3" borderId="1" xfId="1" applyNumberFormat="1" applyFont="1" applyFill="1" applyBorder="1">
      <alignment vertical="center"/>
    </xf>
    <xf numFmtId="180" fontId="0" fillId="3" borderId="1" xfId="3" applyNumberFormat="1" applyFont="1" applyFill="1" applyBorder="1">
      <alignment vertical="center"/>
    </xf>
    <xf numFmtId="180" fontId="0" fillId="3" borderId="1" xfId="3" applyNumberFormat="1" applyFont="1" applyFill="1" applyBorder="1" applyProtection="1">
      <alignment vertical="center"/>
    </xf>
    <xf numFmtId="180" fontId="0" fillId="4" borderId="1" xfId="3" applyNumberFormat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176" fontId="5" fillId="0" borderId="0" xfId="3" applyNumberFormat="1" applyFont="1" applyFill="1" applyBorder="1" applyAlignment="1" applyProtection="1">
      <alignment horizontal="center" vertical="center"/>
    </xf>
    <xf numFmtId="10" fontId="0" fillId="2" borderId="1" xfId="3" applyNumberFormat="1" applyFont="1" applyFill="1" applyBorder="1">
      <alignment vertical="center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8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7" xfId="50"/>
    <cellStyle name="常规 2" xfId="51"/>
    <cellStyle name="常规 2 2" xfId="52"/>
    <cellStyle name="常规 2 2 2" xfId="53"/>
    <cellStyle name="常规 2 2 2 2" xfId="54"/>
    <cellStyle name="常规 2 2 3" xfId="55"/>
    <cellStyle name="常规 2 2 3 2" xfId="56"/>
    <cellStyle name="常规 2 2 3 2 2" xfId="57"/>
    <cellStyle name="常规 2 2 4" xfId="58"/>
    <cellStyle name="常规 2 2 6" xfId="59"/>
    <cellStyle name="常规 2 3" xfId="60"/>
    <cellStyle name="常规 2 3 2" xfId="61"/>
    <cellStyle name="常规 2 4" xfId="62"/>
    <cellStyle name="常规 2 5" xfId="63"/>
    <cellStyle name="常规 2 6" xfId="64"/>
    <cellStyle name="常规 3" xfId="65"/>
    <cellStyle name="常规 3 2" xfId="66"/>
    <cellStyle name="常规 3 2 2" xfId="67"/>
    <cellStyle name="常规 3 2 3" xfId="68"/>
    <cellStyle name="常规 3 2 4" xfId="69"/>
    <cellStyle name="常规 3 2 5" xfId="70"/>
    <cellStyle name="常规 3 3" xfId="71"/>
    <cellStyle name="常规 3 3 2" xfId="72"/>
    <cellStyle name="常规 4" xfId="73"/>
    <cellStyle name="常规 4 2" xfId="74"/>
    <cellStyle name="常规 5" xfId="75"/>
    <cellStyle name="常规 5 2" xfId="76"/>
    <cellStyle name="常规 6" xfId="77"/>
    <cellStyle name="常规 6 2" xfId="78"/>
    <cellStyle name="常规 6 3" xfId="79"/>
    <cellStyle name="常规 7" xfId="80"/>
    <cellStyle name="常规 8" xfId="81"/>
    <cellStyle name="常规 8 2" xfId="82"/>
    <cellStyle name="常规 9" xfId="83"/>
    <cellStyle name="千位分隔 2" xfId="84"/>
    <cellStyle name="样式 1" xfId="8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384810</xdr:colOff>
      <xdr:row>1</xdr:row>
      <xdr:rowOff>57150</xdr:rowOff>
    </xdr:from>
    <xdr:to>
      <xdr:col>18</xdr:col>
      <xdr:colOff>438150</xdr:colOff>
      <xdr:row>10</xdr:row>
      <xdr:rowOff>32385</xdr:rowOff>
    </xdr:to>
    <xdr:sp>
      <xdr:nvSpPr>
        <xdr:cNvPr id="2" name="文本框 1"/>
        <xdr:cNvSpPr txBox="1"/>
      </xdr:nvSpPr>
      <xdr:spPr>
        <a:xfrm>
          <a:off x="9378315" y="241300"/>
          <a:ext cx="5974080" cy="15754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/>
            <a:t>说明：</a:t>
          </a:r>
          <a:endParaRPr lang="en-US" altLang="zh-CN" sz="1800" b="1"/>
        </a:p>
        <a:p>
          <a:r>
            <a:rPr lang="en-US" altLang="zh-CN" sz="1800" b="1"/>
            <a:t>1.</a:t>
          </a:r>
          <a:r>
            <a:rPr lang="zh-CN" altLang="en-US" sz="1800" b="1"/>
            <a:t>绿色为使用人自己填充的内容</a:t>
          </a:r>
          <a:endParaRPr lang="en-US" altLang="zh-CN" sz="1800" b="1"/>
        </a:p>
        <a:p>
          <a:r>
            <a:rPr lang="en-US" altLang="zh-CN" sz="1800" b="1"/>
            <a:t>2.</a:t>
          </a:r>
          <a:r>
            <a:rPr lang="zh-CN" altLang="en-US" sz="1800" b="1"/>
            <a:t>参数来源于：</a:t>
          </a:r>
          <a:r>
            <a:rPr lang="en-US" altLang="zh-CN" sz="1800" b="1"/>
            <a:t>w1</a:t>
          </a:r>
          <a:r>
            <a:rPr lang="zh-CN" altLang="en-US" sz="1800" b="1"/>
            <a:t>、</a:t>
          </a:r>
          <a:r>
            <a:rPr lang="en-US" altLang="zh-CN" sz="1800" b="1"/>
            <a:t>w2</a:t>
          </a:r>
          <a:r>
            <a:rPr lang="zh-CN" altLang="en-US" sz="1800" b="1"/>
            <a:t>、</a:t>
          </a:r>
          <a:r>
            <a:rPr lang="en-US" altLang="zh-CN" sz="1800" b="1"/>
            <a:t>n1</a:t>
          </a:r>
          <a:r>
            <a:rPr lang="zh-CN" altLang="en-US" sz="1800" b="1"/>
            <a:t>、</a:t>
          </a:r>
          <a:r>
            <a:rPr lang="en-US" altLang="zh-CN" sz="1800" b="1"/>
            <a:t>n2</a:t>
          </a:r>
          <a:r>
            <a:rPr lang="zh-CN" altLang="en-US" sz="1800" b="1"/>
            <a:t>、价格分占比来源于招标文件；</a:t>
          </a:r>
          <a:r>
            <a:rPr lang="en-US" altLang="zh-CN" sz="1800" b="1"/>
            <a:t>c</a:t>
          </a:r>
          <a:r>
            <a:rPr lang="zh-CN" altLang="en-US" sz="1800" b="1"/>
            <a:t>值来源于招标文件或者</a:t>
          </a:r>
          <a:r>
            <a:rPr lang="en-US" altLang="zh-CN" sz="1800" b="1"/>
            <a:t>ecp2.0</a:t>
          </a:r>
          <a:r>
            <a:rPr lang="zh-CN" altLang="en-US" sz="1800" b="1"/>
            <a:t>平台</a:t>
          </a:r>
          <a:r>
            <a:rPr lang="en-US" altLang="zh-CN" sz="1800" b="1"/>
            <a:t>-</a:t>
          </a:r>
          <a:r>
            <a:rPr lang="zh-CN" altLang="en-US" sz="1800" b="1"/>
            <a:t>公共信息</a:t>
          </a:r>
          <a:r>
            <a:rPr lang="en-US" altLang="zh-CN" sz="1800" b="1"/>
            <a:t>-</a:t>
          </a:r>
          <a:r>
            <a:rPr lang="zh-CN" altLang="en-US" sz="1800" b="1"/>
            <a:t>基准价浮动系数抽取结果公示</a:t>
          </a:r>
          <a:endParaRPr lang="en-US" altLang="zh-CN" sz="1800" b="1"/>
        </a:p>
        <a:p>
          <a:endParaRPr lang="en-US" altLang="zh-CN" sz="1100"/>
        </a:p>
      </xdr:txBody>
    </xdr:sp>
    <xdr:clientData/>
  </xdr:twoCellAnchor>
  <xdr:twoCellAnchor>
    <xdr:from>
      <xdr:col>10</xdr:col>
      <xdr:colOff>413385</xdr:colOff>
      <xdr:row>10</xdr:row>
      <xdr:rowOff>158750</xdr:rowOff>
    </xdr:from>
    <xdr:to>
      <xdr:col>20</xdr:col>
      <xdr:colOff>499110</xdr:colOff>
      <xdr:row>43</xdr:row>
      <xdr:rowOff>123825</xdr:rowOff>
    </xdr:to>
    <xdr:sp>
      <xdr:nvSpPr>
        <xdr:cNvPr id="3" name="文本框 2"/>
        <xdr:cNvSpPr txBox="1"/>
      </xdr:nvSpPr>
      <xdr:spPr>
        <a:xfrm>
          <a:off x="9406890" y="1943100"/>
          <a:ext cx="7381875" cy="583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一、确定有效投标人(仅为计算基准价使用)</a:t>
          </a:r>
          <a:endParaRPr lang="zh-CN" altLang="en-US" sz="1100"/>
        </a:p>
        <a:p>
          <a:pPr algn="l"/>
          <a:r>
            <a:rPr lang="zh-CN" altLang="en-US" sz="1100"/>
            <a:t>1.初评合格投标人在5名以内（含5名）时，评标价格在所有初评合格投标人的评标价算术平均值A1的[1+W1，1+W2]区间内（不含本数）的投标人为有效投标人。当区间内的合格投标人数为0时，则所有初评合格投标人为有效投标人。</a:t>
          </a:r>
          <a:endParaRPr lang="zh-CN" altLang="en-US" sz="1100"/>
        </a:p>
        <a:p>
          <a:pPr algn="l"/>
          <a:r>
            <a:rPr lang="zh-CN" altLang="en-US" sz="1100"/>
            <a:t>2.初评合格投标人在5名-10名（含10名）时，先去掉评标价最高和最低者后，评标价格在剩余X个初评合格投标人的评标价算术平均值A1的[1+W1，1+W2]区间内（不含本数）的投标人为有效投标人。当区间内的合格投标人数为0时，则X个初评合格投标人为有效投标人。</a:t>
          </a:r>
          <a:endParaRPr lang="zh-CN" altLang="en-US" sz="1100"/>
        </a:p>
        <a:p>
          <a:pPr algn="l"/>
          <a:r>
            <a:rPr lang="zh-CN" altLang="en-US" sz="1100"/>
            <a:t>3.初评合格投标人在10名-20名（含20名）时，先去掉评标价最高、次高和最低者后，评标价格在剩余X个初评合格投标人的评标价算术平均值A1的[1+W1，1+W2]区间内（不含本数）的投标人为有效投标人。当区间内的合格投标人数为0时，则X个初评合格投标人为有效投标人。</a:t>
          </a:r>
          <a:endParaRPr lang="zh-CN" altLang="en-US" sz="1100"/>
        </a:p>
        <a:p>
          <a:pPr algn="l"/>
          <a:r>
            <a:rPr lang="zh-CN" altLang="en-US" sz="1100"/>
            <a:t>4.初评合格投标人在20名-30名（含30名）时，先去掉评标价最高、次高、第三高和最低、次低者后，评标价格在剩余X个初评合格投标人的评标价算术平均值A1的[1+W1，1+W2]区间内（不含本数）的投标人为有效投标人。当区间内的合格投标人数为0时，则X个初评合格投标人为有效投标人。</a:t>
          </a:r>
          <a:endParaRPr lang="zh-CN" altLang="en-US" sz="1100"/>
        </a:p>
        <a:p>
          <a:pPr algn="l"/>
          <a:r>
            <a:rPr lang="zh-CN" altLang="en-US" sz="1100"/>
            <a:t>5.初评合格投标人在30名（不含30名）以上时，先去掉评标价四个较高和三个较低者后，评标价格在剩余X个初评合格投标人的评标价算术平均值A1的[1+W1，1+W2]区间内（不含本数）的投标人为有效投标人。当区间内的合格投标人数为0时，则X个初评合格投标人为有效投标人。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二、计算基准价</a:t>
          </a:r>
          <a:endParaRPr lang="zh-CN" altLang="en-US" sz="1100"/>
        </a:p>
        <a:p>
          <a:pPr algn="l"/>
          <a:r>
            <a:rPr lang="zh-CN" altLang="en-US" sz="1100"/>
            <a:t>1.计算有效投标人的评标价算术平均值A2。</a:t>
          </a:r>
          <a:endParaRPr lang="zh-CN" altLang="en-US" sz="1100"/>
        </a:p>
        <a:p>
          <a:pPr algn="l"/>
          <a:r>
            <a:rPr lang="zh-CN" altLang="en-US" sz="1100"/>
            <a:t>2.基准价=A2*（1+C）。</a:t>
          </a:r>
          <a:endParaRPr lang="zh-CN" altLang="en-US" sz="1100"/>
        </a:p>
        <a:p>
          <a:pPr algn="l"/>
          <a:r>
            <a:rPr lang="zh-CN" altLang="en-US" sz="1100"/>
            <a:t>其中C为基准价浮动系数，C值：[-1.5%，0%]、级差为0.25%，由招标人代表和监察人在开标现场共同随机抽取并公布。（注：本批次共抽取一个C值，作为所有标包的基准价浮动系数）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三、计算价格部分得分（按百分制计算，实际得分应以下述公式计算结果乘以价格评分权重）</a:t>
          </a:r>
          <a:endParaRPr lang="zh-CN" altLang="en-US" sz="1100"/>
        </a:p>
        <a:p>
          <a:pPr algn="l"/>
          <a:r>
            <a:rPr lang="zh-CN" altLang="en-US" sz="1100"/>
            <a:t>价格部分得分=100-100×n×|投标人的评标总价-基准价|/基准价；</a:t>
          </a:r>
          <a:endParaRPr lang="zh-CN" altLang="en-US" sz="1100"/>
        </a:p>
        <a:p>
          <a:pPr algn="l"/>
          <a:r>
            <a:rPr lang="zh-CN" altLang="en-US" sz="1100"/>
            <a:t>当投标人的评标总价&gt;=基准价，n=n1；  </a:t>
          </a:r>
          <a:endParaRPr lang="zh-CN" altLang="en-US" sz="1100"/>
        </a:p>
        <a:p>
          <a:pPr algn="l"/>
          <a:r>
            <a:rPr lang="zh-CN" altLang="en-US" sz="1100"/>
            <a:t>当投标人的评标总价&lt;基准价，n=n2；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128905</xdr:colOff>
      <xdr:row>0</xdr:row>
      <xdr:rowOff>69850</xdr:rowOff>
    </xdr:from>
    <xdr:to>
      <xdr:col>19</xdr:col>
      <xdr:colOff>196850</xdr:colOff>
      <xdr:row>6</xdr:row>
      <xdr:rowOff>76835</xdr:rowOff>
    </xdr:to>
    <xdr:sp>
      <xdr:nvSpPr>
        <xdr:cNvPr id="2" name="文本框 1"/>
        <xdr:cNvSpPr txBox="1"/>
      </xdr:nvSpPr>
      <xdr:spPr>
        <a:xfrm>
          <a:off x="9197340" y="69850"/>
          <a:ext cx="6257290" cy="1080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/>
            <a:t>说明：</a:t>
          </a:r>
          <a:endParaRPr lang="en-US" altLang="zh-CN" sz="1400" b="1"/>
        </a:p>
        <a:p>
          <a:r>
            <a:rPr lang="en-US" altLang="zh-CN" sz="1400" b="1"/>
            <a:t>1.</a:t>
          </a:r>
          <a:r>
            <a:rPr lang="zh-CN" altLang="en-US" sz="1400" b="1"/>
            <a:t>绿色为使用人自己填充的内容</a:t>
          </a:r>
          <a:endParaRPr lang="en-US" altLang="zh-CN" sz="1400" b="1"/>
        </a:p>
        <a:p>
          <a:r>
            <a:rPr lang="en-US" altLang="zh-CN" sz="1400" b="1"/>
            <a:t>2.</a:t>
          </a:r>
          <a:r>
            <a:rPr lang="zh-CN" altLang="en-US" sz="1400" b="1"/>
            <a:t>参数来源于：</a:t>
          </a:r>
          <a:r>
            <a:rPr lang="en-US" altLang="zh-CN" sz="1400" b="1"/>
            <a:t>w1</a:t>
          </a:r>
          <a:r>
            <a:rPr lang="zh-CN" altLang="en-US" sz="1400" b="1"/>
            <a:t>、</a:t>
          </a:r>
          <a:r>
            <a:rPr lang="en-US" altLang="zh-CN" sz="1400" b="1"/>
            <a:t>w2</a:t>
          </a:r>
          <a:r>
            <a:rPr lang="zh-CN" altLang="en-US" sz="1400" b="1"/>
            <a:t>、</a:t>
          </a:r>
          <a:r>
            <a:rPr lang="en-US" altLang="zh-CN" sz="1400" b="1"/>
            <a:t>n1</a:t>
          </a:r>
          <a:r>
            <a:rPr lang="zh-CN" altLang="en-US" sz="1400" b="1"/>
            <a:t>、</a:t>
          </a:r>
          <a:r>
            <a:rPr lang="en-US" altLang="zh-CN" sz="1400" b="1"/>
            <a:t>n2</a:t>
          </a:r>
          <a:r>
            <a:rPr lang="zh-CN" altLang="en-US" sz="1400" b="1"/>
            <a:t>、价格分占比来源于招标文件；</a:t>
          </a:r>
          <a:r>
            <a:rPr lang="en-US" altLang="zh-CN" sz="1400" b="1"/>
            <a:t>c</a:t>
          </a:r>
          <a:r>
            <a:rPr lang="zh-CN" altLang="en-US" sz="1400" b="1"/>
            <a:t>值来源于招标文件或者</a:t>
          </a:r>
          <a:r>
            <a:rPr lang="en-US" altLang="zh-CN" sz="1400" b="1"/>
            <a:t>ecp2.0</a:t>
          </a:r>
          <a:r>
            <a:rPr lang="zh-CN" altLang="en-US" sz="1400" b="1"/>
            <a:t>平台</a:t>
          </a:r>
          <a:r>
            <a:rPr lang="en-US" altLang="zh-CN" sz="1400" b="1"/>
            <a:t>-</a:t>
          </a:r>
          <a:r>
            <a:rPr lang="zh-CN" altLang="en-US" sz="1400" b="1"/>
            <a:t>公共信息</a:t>
          </a:r>
          <a:r>
            <a:rPr lang="en-US" altLang="zh-CN" sz="1400" b="1"/>
            <a:t>-</a:t>
          </a:r>
          <a:r>
            <a:rPr lang="zh-CN" altLang="en-US" sz="1400" b="1"/>
            <a:t>基准价浮动系数抽取结果公示</a:t>
          </a:r>
          <a:endParaRPr lang="en-US" altLang="zh-CN" sz="1800" b="1"/>
        </a:p>
        <a:p>
          <a:endParaRPr lang="en-US" altLang="zh-CN" sz="1100"/>
        </a:p>
      </xdr:txBody>
    </xdr:sp>
    <xdr:clientData/>
  </xdr:twoCellAnchor>
  <xdr:twoCellAnchor>
    <xdr:from>
      <xdr:col>10</xdr:col>
      <xdr:colOff>154305</xdr:colOff>
      <xdr:row>9</xdr:row>
      <xdr:rowOff>69850</xdr:rowOff>
    </xdr:from>
    <xdr:to>
      <xdr:col>20</xdr:col>
      <xdr:colOff>659130</xdr:colOff>
      <xdr:row>42</xdr:row>
      <xdr:rowOff>34925</xdr:rowOff>
    </xdr:to>
    <xdr:sp>
      <xdr:nvSpPr>
        <xdr:cNvPr id="3" name="文本框 2"/>
        <xdr:cNvSpPr txBox="1"/>
      </xdr:nvSpPr>
      <xdr:spPr>
        <a:xfrm>
          <a:off x="9222740" y="1676400"/>
          <a:ext cx="7381875" cy="583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一、确定有效投标人(仅为计算基准价使用)</a:t>
          </a:r>
          <a:endParaRPr lang="zh-CN" altLang="en-US" sz="1100"/>
        </a:p>
        <a:p>
          <a:pPr algn="l"/>
          <a:r>
            <a:rPr lang="zh-CN" altLang="en-US" sz="1100"/>
            <a:t>1.初评合格投标人在5名以内（含5名）时，评标价格在所有初评合格投标人的评标价算术平均值A1的[1+W1，1+W2]区间内（不含本数）的投标人为有效投标人。当区间内的合格投标人数为0时，则所有初评合格投标人为有效投标人。</a:t>
          </a:r>
          <a:endParaRPr lang="zh-CN" altLang="en-US" sz="1100"/>
        </a:p>
        <a:p>
          <a:pPr algn="l"/>
          <a:r>
            <a:rPr lang="zh-CN" altLang="en-US" sz="1100"/>
            <a:t>2.初评合格投标人在5名-10名（含10名）时，先去掉评标价最高和最低者后，评标价格在剩余X个初评合格投标人的评标价算术平均值A1的[1+W1，1+W2]区间内（不含本数）的投标人为有效投标人。当区间内的合格投标人数为0时，则X个初评合格投标人为有效投标人。</a:t>
          </a:r>
          <a:endParaRPr lang="zh-CN" altLang="en-US" sz="1100"/>
        </a:p>
        <a:p>
          <a:pPr algn="l"/>
          <a:r>
            <a:rPr lang="zh-CN" altLang="en-US" sz="1100"/>
            <a:t>3.初评合格投标人在10名-20名（含20名）时，先去掉评标价最高、次高和最低者后，评标价格在剩余X个初评合格投标人的评标价算术平均值A1的[1+W1，1+W2]区间内（不含本数）的投标人为有效投标人。当区间内的合格投标人数为0时，则X个初评合格投标人为有效投标人。</a:t>
          </a:r>
          <a:endParaRPr lang="zh-CN" altLang="en-US" sz="1100"/>
        </a:p>
        <a:p>
          <a:pPr algn="l"/>
          <a:r>
            <a:rPr lang="zh-CN" altLang="en-US" sz="1100"/>
            <a:t>4.初评合格投标人在20名-30名（含30名）时，先去掉评标价最高、次高、第三高和最低、次低者后，评标价格在剩余X个初评合格投标人的评标价算术平均值A1的[1+W1，1+W2]区间内（不含本数）的投标人为有效投标人。当区间内的合格投标人数为0时，则X个初评合格投标人为有效投标人。</a:t>
          </a:r>
          <a:endParaRPr lang="zh-CN" altLang="en-US" sz="1100"/>
        </a:p>
        <a:p>
          <a:pPr algn="l"/>
          <a:r>
            <a:rPr lang="zh-CN" altLang="en-US" sz="1100"/>
            <a:t>5.初评合格投标人在30名（不含30名）以上时，先去掉评标价四个较高和三个较低者后，评标价格在剩余X个初评合格投标人的评标价算术平均值A1的[1+W1，1+W2]区间内（不含本数）的投标人为有效投标人。当区间内的合格投标人数为0时，则X个初评合格投标人为有效投标人。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二、计算基准价</a:t>
          </a:r>
          <a:endParaRPr lang="zh-CN" altLang="en-US" sz="1100"/>
        </a:p>
        <a:p>
          <a:pPr algn="l"/>
          <a:r>
            <a:rPr lang="zh-CN" altLang="en-US" sz="1100"/>
            <a:t>1.计算有效投标人的评标价算术平均值A2。</a:t>
          </a:r>
          <a:endParaRPr lang="zh-CN" altLang="en-US" sz="1100"/>
        </a:p>
        <a:p>
          <a:pPr algn="l"/>
          <a:r>
            <a:rPr lang="zh-CN" altLang="en-US" sz="1100"/>
            <a:t>2.基准价=A2*（1+C）。</a:t>
          </a:r>
          <a:endParaRPr lang="zh-CN" altLang="en-US" sz="1100"/>
        </a:p>
        <a:p>
          <a:pPr algn="l"/>
          <a:r>
            <a:rPr lang="zh-CN" altLang="en-US" sz="1100"/>
            <a:t>其中C为基准价浮动系数，C值：[-1.5%，0%]、级差为0.25%，由招标人代表和监察人在开标现场共同随机抽取并公布。（注：本批次共抽取一个C值，作为所有标包的基准价浮动系数）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三、计算价格部分得分（按百分制计算，实际得分应以下述公式计算结果乘以价格评分权重）</a:t>
          </a:r>
          <a:endParaRPr lang="zh-CN" altLang="en-US" sz="1100"/>
        </a:p>
        <a:p>
          <a:pPr algn="l"/>
          <a:r>
            <a:rPr lang="zh-CN" altLang="en-US" sz="1100"/>
            <a:t>价格部分得分=100-100×n×|投标人的评标总价-基准价|/基准价；</a:t>
          </a:r>
          <a:endParaRPr lang="zh-CN" altLang="en-US" sz="1100"/>
        </a:p>
        <a:p>
          <a:pPr algn="l"/>
          <a:r>
            <a:rPr lang="zh-CN" altLang="en-US" sz="1100"/>
            <a:t>当投标人的评标总价&gt;=基准价，n=n1；  </a:t>
          </a:r>
          <a:endParaRPr lang="zh-CN" altLang="en-US" sz="1100"/>
        </a:p>
        <a:p>
          <a:pPr algn="l"/>
          <a:r>
            <a:rPr lang="zh-CN" altLang="en-US" sz="1100"/>
            <a:t>当投标人的评标总价&lt;基准价，n=n2；</a:t>
          </a:r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686435</xdr:colOff>
      <xdr:row>1</xdr:row>
      <xdr:rowOff>0</xdr:rowOff>
    </xdr:from>
    <xdr:to>
      <xdr:col>20</xdr:col>
      <xdr:colOff>60960</xdr:colOff>
      <xdr:row>6</xdr:row>
      <xdr:rowOff>115570</xdr:rowOff>
    </xdr:to>
    <xdr:sp>
      <xdr:nvSpPr>
        <xdr:cNvPr id="2" name="文本框 1"/>
        <xdr:cNvSpPr txBox="1"/>
      </xdr:nvSpPr>
      <xdr:spPr>
        <a:xfrm>
          <a:off x="10205720" y="179705"/>
          <a:ext cx="6250305" cy="1004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/>
            <a:t>说明：</a:t>
          </a:r>
          <a:endParaRPr lang="en-US" altLang="zh-CN" sz="1800" b="1"/>
        </a:p>
        <a:p>
          <a:r>
            <a:rPr lang="en-US" altLang="zh-CN" sz="1800" b="1"/>
            <a:t>1.</a:t>
          </a:r>
          <a:r>
            <a:rPr lang="zh-CN" altLang="en-US" sz="1800" b="1"/>
            <a:t>绿色为使用人自己填充的内容</a:t>
          </a:r>
          <a:endParaRPr lang="en-US" altLang="zh-CN" sz="1800" b="1"/>
        </a:p>
        <a:p>
          <a:r>
            <a:rPr lang="en-US" altLang="zh-CN" sz="1800" b="1"/>
            <a:t>2.</a:t>
          </a:r>
          <a:r>
            <a:rPr lang="zh-CN" altLang="en-US" sz="1800" b="1"/>
            <a:t>参数来源于：招标文件</a:t>
          </a:r>
          <a:endParaRPr lang="en-US" altLang="zh-CN" sz="1100"/>
        </a:p>
      </xdr:txBody>
    </xdr:sp>
    <xdr:clientData/>
  </xdr:twoCellAnchor>
  <xdr:twoCellAnchor>
    <xdr:from>
      <xdr:col>11</xdr:col>
      <xdr:colOff>24130</xdr:colOff>
      <xdr:row>7</xdr:row>
      <xdr:rowOff>149225</xdr:rowOff>
    </xdr:from>
    <xdr:to>
      <xdr:col>24</xdr:col>
      <xdr:colOff>586740</xdr:colOff>
      <xdr:row>26</xdr:row>
      <xdr:rowOff>113030</xdr:rowOff>
    </xdr:to>
    <xdr:sp>
      <xdr:nvSpPr>
        <xdr:cNvPr id="3" name="文本框 2"/>
        <xdr:cNvSpPr txBox="1"/>
      </xdr:nvSpPr>
      <xdr:spPr>
        <a:xfrm>
          <a:off x="10229850" y="1395730"/>
          <a:ext cx="9502775" cy="3343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400"/>
            <a:t>区间复合平均价法（次低价平均），计算方法如下：</a:t>
          </a:r>
          <a:endParaRPr lang="zh-CN" altLang="en-US" sz="1400"/>
        </a:p>
        <a:p>
          <a:pPr algn="l"/>
          <a:r>
            <a:rPr lang="zh-CN" altLang="en-US" sz="1400"/>
            <a:t>M：为进入详评的投标人数量  a．如果M&lt;10，不去掉任何一个报价  b．如果10&lt;=M&lt;20，去掉一个最高评标价和一个最低评标价，如果如在同一包内出现并列最高或最低评标价的情况，在计算基准价时只去掉其中一个最高或最低评标价，以下类推  c．如果20&lt;=M&lt;30，则去掉两个最高评标价和一个最低评标价  d．如果30&lt;=M，则去掉三个最高评标价和两个最低评标价；</a:t>
          </a:r>
          <a:endParaRPr lang="zh-CN" altLang="en-US" sz="1400"/>
        </a:p>
        <a:p>
          <a:pPr algn="l"/>
          <a:r>
            <a:rPr lang="zh-CN" altLang="en-US" sz="1400"/>
            <a:t>然后计算剩余投标人（N个）评标价的算术平均值A1；</a:t>
          </a:r>
          <a:endParaRPr lang="zh-CN" altLang="en-US" sz="1400"/>
        </a:p>
        <a:p>
          <a:pPr algn="l"/>
          <a:r>
            <a:rPr lang="zh-CN" altLang="en-US" sz="1400"/>
            <a:t>再剔除（剔除只为计算平均值使用，并不是废标）评标价与算术平均值A1 偏差超过[-20%，10%]区间的投标人报价，计算剔除后投标人（P个）评标价的算术平均值A2；</a:t>
          </a:r>
          <a:endParaRPr lang="zh-CN" altLang="en-US" sz="1400"/>
        </a:p>
        <a:p>
          <a:pPr algn="l"/>
          <a:r>
            <a:rPr lang="zh-CN" altLang="en-US" sz="1400"/>
            <a:t>最后计算A2和P个投标人中最低评标价的算术平均值A3，以A3为基准价；</a:t>
          </a:r>
          <a:endParaRPr lang="zh-CN" altLang="en-US" sz="1400"/>
        </a:p>
        <a:p>
          <a:pPr algn="l"/>
          <a:r>
            <a:rPr lang="zh-CN" altLang="en-US" sz="1400"/>
            <a:t>若N个评标价均在算术平均值A1 [-20%，10%]区间以外，则所有进入详评的投标人（M个）评标价的算术平均值A4作为基准价。</a:t>
          </a:r>
          <a:endParaRPr lang="zh-CN" altLang="en-US" sz="1400"/>
        </a:p>
        <a:p>
          <a:pPr algn="l"/>
          <a:r>
            <a:rPr lang="zh-CN" altLang="en-US" sz="1400"/>
            <a:t>价格部分得分=100-100×n×m×|投标人的评标总价-基准价|/基准价；当投标人的评标总价&gt;=基准价，m=1；当投标人的评标总价&lt;基准价，m=[0.3，0.8]；当计算出的价格部分得分&lt;0，按0分计。</a:t>
          </a:r>
          <a:endParaRPr lang="zh-CN" altLang="en-US" sz="1400"/>
        </a:p>
        <a:p>
          <a:pPr algn="l"/>
          <a:r>
            <a:rPr lang="zh-CN" altLang="en-US" sz="1400"/>
            <a:t>n是减分系数，m是浮动系数，评标总价&gt;=基准价，m=1；评标总价&lt;基准价，m=0.6；n=1</a:t>
          </a:r>
          <a:endParaRPr lang="zh-CN" altLang="en-US" sz="1400"/>
        </a:p>
        <a:p>
          <a:pPr algn="l"/>
          <a:endParaRPr lang="zh-CN" altLang="en-US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294005</xdr:colOff>
      <xdr:row>1</xdr:row>
      <xdr:rowOff>9525</xdr:rowOff>
    </xdr:from>
    <xdr:to>
      <xdr:col>17</xdr:col>
      <xdr:colOff>373380</xdr:colOff>
      <xdr:row>6</xdr:row>
      <xdr:rowOff>123825</xdr:rowOff>
    </xdr:to>
    <xdr:sp>
      <xdr:nvSpPr>
        <xdr:cNvPr id="2" name="文本框 1"/>
        <xdr:cNvSpPr txBox="1"/>
      </xdr:nvSpPr>
      <xdr:spPr>
        <a:xfrm>
          <a:off x="7626985" y="189230"/>
          <a:ext cx="6268720" cy="100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/>
            <a:t>说明：</a:t>
          </a:r>
          <a:endParaRPr lang="en-US" altLang="zh-CN" sz="1200" b="1"/>
        </a:p>
        <a:p>
          <a:r>
            <a:rPr lang="en-US" altLang="zh-CN" sz="1200" b="1"/>
            <a:t>1.</a:t>
          </a:r>
          <a:r>
            <a:rPr lang="zh-CN" altLang="en-US" sz="1200" b="1"/>
            <a:t>绿色为使用人自己填充的内容</a:t>
          </a:r>
          <a:endParaRPr lang="en-US" altLang="zh-CN" sz="1200" b="1"/>
        </a:p>
        <a:p>
          <a:r>
            <a:rPr lang="en-US" altLang="zh-CN" sz="1200" b="1"/>
            <a:t>2.</a:t>
          </a:r>
          <a:r>
            <a:rPr lang="zh-CN" altLang="en-US" sz="1200" b="1"/>
            <a:t>参数来源于：</a:t>
          </a:r>
          <a:r>
            <a:rPr lang="en-US" altLang="zh-CN" sz="1200" b="1"/>
            <a:t>w1</a:t>
          </a:r>
          <a:r>
            <a:rPr lang="zh-CN" altLang="en-US" sz="1200" b="1"/>
            <a:t>、</a:t>
          </a:r>
          <a:r>
            <a:rPr lang="en-US" altLang="zh-CN" sz="1200" b="1"/>
            <a:t>w2</a:t>
          </a:r>
          <a:r>
            <a:rPr lang="zh-CN" altLang="en-US" sz="1200" b="1"/>
            <a:t>、</a:t>
          </a:r>
          <a:r>
            <a:rPr lang="en-US" altLang="zh-CN" sz="1200" b="1"/>
            <a:t>n1</a:t>
          </a:r>
          <a:r>
            <a:rPr lang="zh-CN" altLang="en-US" sz="1200" b="1"/>
            <a:t>、</a:t>
          </a:r>
          <a:r>
            <a:rPr lang="en-US" altLang="zh-CN" sz="1200" b="1"/>
            <a:t>n2</a:t>
          </a:r>
          <a:r>
            <a:rPr lang="zh-CN" altLang="en-US" sz="1200" b="1"/>
            <a:t>、价格分占比来源于招标文件；</a:t>
          </a:r>
          <a:r>
            <a:rPr lang="en-US" altLang="zh-CN" sz="1200" b="1"/>
            <a:t>c</a:t>
          </a:r>
          <a:r>
            <a:rPr lang="zh-CN" altLang="en-US" sz="1200" b="1"/>
            <a:t>值来源于招标文件或者</a:t>
          </a:r>
          <a:r>
            <a:rPr lang="en-US" altLang="zh-CN" sz="1200" b="1"/>
            <a:t>ecp2.0</a:t>
          </a:r>
          <a:r>
            <a:rPr lang="zh-CN" altLang="en-US" sz="1200" b="1"/>
            <a:t>平台</a:t>
          </a:r>
          <a:r>
            <a:rPr lang="en-US" altLang="zh-CN" sz="1200" b="1"/>
            <a:t>-</a:t>
          </a:r>
          <a:r>
            <a:rPr lang="zh-CN" altLang="en-US" sz="1200" b="1"/>
            <a:t>公共信息</a:t>
          </a:r>
          <a:r>
            <a:rPr lang="en-US" altLang="zh-CN" sz="1200" b="1"/>
            <a:t>-</a:t>
          </a:r>
          <a:r>
            <a:rPr lang="zh-CN" altLang="en-US" sz="1200" b="1"/>
            <a:t>基准价浮动系数抽取结果公示</a:t>
          </a:r>
          <a:endParaRPr lang="en-US" altLang="zh-CN" sz="1800" b="1"/>
        </a:p>
        <a:p>
          <a:endParaRPr lang="en-US" altLang="zh-CN" sz="1100"/>
        </a:p>
      </xdr:txBody>
    </xdr:sp>
    <xdr:clientData/>
  </xdr:twoCellAnchor>
  <xdr:twoCellAnchor>
    <xdr:from>
      <xdr:col>8</xdr:col>
      <xdr:colOff>330200</xdr:colOff>
      <xdr:row>7</xdr:row>
      <xdr:rowOff>90170</xdr:rowOff>
    </xdr:from>
    <xdr:to>
      <xdr:col>18</xdr:col>
      <xdr:colOff>167005</xdr:colOff>
      <xdr:row>24</xdr:row>
      <xdr:rowOff>160655</xdr:rowOff>
    </xdr:to>
    <xdr:sp>
      <xdr:nvSpPr>
        <xdr:cNvPr id="3" name="文本框 2"/>
        <xdr:cNvSpPr txBox="1"/>
      </xdr:nvSpPr>
      <xdr:spPr>
        <a:xfrm>
          <a:off x="7663180" y="1336675"/>
          <a:ext cx="6713855" cy="3093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 b="1"/>
            <a:t>区间复合一次平均价法</a:t>
          </a:r>
          <a:endParaRPr lang="zh-CN" altLang="en-US" sz="1100"/>
        </a:p>
        <a:p>
          <a:pPr algn="l"/>
          <a:r>
            <a:rPr lang="zh-CN" altLang="en-US" sz="1100"/>
            <a:t>计算进入详评的投标人评标价的算术平均值A1；再剔除（剔除只为计算平均值使用，并不否决）评标价与算术平均值A1 偏差超过[A1×w1，A1×w2]区间的投标人报价，计算偏差在算术平均值[A1×w1，A1×w2]区间以内的投标人评标价的算术平均值A2，以A2×(1+c)为基准价；</a:t>
          </a:r>
          <a:endParaRPr lang="zh-CN" altLang="en-US" sz="1100"/>
        </a:p>
        <a:p>
          <a:pPr algn="l"/>
          <a:r>
            <a:rPr lang="zh-CN" altLang="en-US" sz="1100"/>
            <a:t>若所有进入详评的评标价均在[A1×w1，A1×w2]区间以外，则A1×(1+c)作为基准价。</a:t>
          </a:r>
          <a:endParaRPr lang="zh-CN" altLang="en-US" sz="1100"/>
        </a:p>
        <a:p>
          <a:pPr algn="l"/>
          <a:r>
            <a:rPr lang="zh-CN" altLang="en-US" sz="1100"/>
            <a:t>价格部分得分=100-100×n×|投标人的评标总价-基准价|/基准价；</a:t>
          </a:r>
          <a:endParaRPr lang="zh-CN" altLang="en-US" sz="1100"/>
        </a:p>
        <a:p>
          <a:pPr algn="l"/>
          <a:r>
            <a:rPr lang="zh-CN" altLang="en-US" sz="1100"/>
            <a:t>当投标人的评标总价＞=基准价，n=n1；</a:t>
          </a:r>
          <a:endParaRPr lang="zh-CN" altLang="en-US" sz="1100"/>
        </a:p>
        <a:p>
          <a:pPr algn="l"/>
          <a:r>
            <a:rPr lang="zh-CN" altLang="en-US" sz="1100"/>
            <a:t>当投标人的评标总价&lt;基准价，n=n2；</a:t>
          </a:r>
          <a:endParaRPr lang="zh-CN" altLang="en-US" sz="1100"/>
        </a:p>
        <a:p>
          <a:pPr algn="l"/>
          <a:r>
            <a:rPr lang="zh-CN" altLang="en-US" sz="1100"/>
            <a:t>当计算出的价格部分得分&lt;0，按0分计。</a:t>
          </a:r>
          <a:endParaRPr lang="zh-CN" altLang="en-US" sz="1100"/>
        </a:p>
        <a:p>
          <a:pPr algn="l"/>
          <a:r>
            <a:rPr lang="zh-CN" altLang="en-US" sz="1100"/>
            <a:t>参数选择：w1=0.8，w2=1.15，n1=1，n2=0.5，c=0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77470</xdr:colOff>
      <xdr:row>1</xdr:row>
      <xdr:rowOff>98425</xdr:rowOff>
    </xdr:from>
    <xdr:to>
      <xdr:col>20</xdr:col>
      <xdr:colOff>94615</xdr:colOff>
      <xdr:row>10</xdr:row>
      <xdr:rowOff>59690</xdr:rowOff>
    </xdr:to>
    <xdr:sp>
      <xdr:nvSpPr>
        <xdr:cNvPr id="2" name="文本框 1"/>
        <xdr:cNvSpPr txBox="1"/>
      </xdr:nvSpPr>
      <xdr:spPr>
        <a:xfrm>
          <a:off x="9333865" y="278130"/>
          <a:ext cx="7581900" cy="15614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/>
            <a:t>说明：</a:t>
          </a:r>
          <a:endParaRPr lang="en-US" altLang="zh-CN" sz="1800" b="1"/>
        </a:p>
        <a:p>
          <a:r>
            <a:rPr lang="en-US" altLang="zh-CN" sz="1800" b="1"/>
            <a:t>1.</a:t>
          </a:r>
          <a:r>
            <a:rPr lang="zh-CN" altLang="en-US" sz="1800" b="1"/>
            <a:t>绿色为使用人自己填充的内容</a:t>
          </a:r>
          <a:endParaRPr lang="en-US" altLang="zh-CN" sz="1800" b="1"/>
        </a:p>
        <a:p>
          <a:r>
            <a:rPr lang="en-US" altLang="zh-CN" sz="1800" b="1"/>
            <a:t>2.</a:t>
          </a:r>
          <a:r>
            <a:rPr lang="zh-CN" altLang="en-US" sz="1800" b="1"/>
            <a:t>参数来源于：</a:t>
          </a:r>
          <a:r>
            <a:rPr lang="en-US" altLang="zh-CN" sz="1800" b="1"/>
            <a:t>a</a:t>
          </a:r>
          <a:r>
            <a:rPr lang="zh-CN" altLang="en-US" sz="1800" b="1"/>
            <a:t>、</a:t>
          </a:r>
          <a:r>
            <a:rPr lang="en-US" altLang="zh-CN" sz="1800" b="1"/>
            <a:t>b</a:t>
          </a:r>
          <a:r>
            <a:rPr lang="zh-CN" altLang="en-US" sz="1800" b="1"/>
            <a:t>、</a:t>
          </a:r>
          <a:r>
            <a:rPr lang="en-US" altLang="zh-CN" sz="1800" b="1"/>
            <a:t>n1</a:t>
          </a:r>
          <a:r>
            <a:rPr lang="zh-CN" altLang="en-US" sz="1800" b="1"/>
            <a:t>、</a:t>
          </a:r>
          <a:r>
            <a:rPr lang="en-US" altLang="zh-CN" sz="1800" b="1"/>
            <a:t>n2</a:t>
          </a:r>
          <a:r>
            <a:rPr lang="zh-CN" altLang="en-US" sz="1800" b="1"/>
            <a:t>、价格分占比来源于招标文件；</a:t>
          </a:r>
          <a:r>
            <a:rPr lang="en-US" altLang="zh-CN" sz="1800" b="1"/>
            <a:t>c</a:t>
          </a:r>
          <a:r>
            <a:rPr lang="zh-CN" altLang="en-US" sz="1800" b="1"/>
            <a:t>值来源于招标文件或者</a:t>
          </a:r>
          <a:r>
            <a:rPr lang="en-US" altLang="zh-CN" sz="1800" b="1"/>
            <a:t>ecp2.0</a:t>
          </a:r>
          <a:r>
            <a:rPr lang="zh-CN" altLang="en-US" sz="1800" b="1"/>
            <a:t>平台</a:t>
          </a:r>
          <a:r>
            <a:rPr lang="en-US" altLang="zh-CN" sz="1800" b="1"/>
            <a:t>-</a:t>
          </a:r>
          <a:r>
            <a:rPr lang="zh-CN" altLang="en-US" sz="1800" b="1"/>
            <a:t>公共信息</a:t>
          </a:r>
          <a:r>
            <a:rPr lang="en-US" altLang="zh-CN" sz="1800" b="1"/>
            <a:t>-</a:t>
          </a:r>
          <a:r>
            <a:rPr lang="zh-CN" altLang="en-US" sz="1800" b="1"/>
            <a:t>基准价浮动系数抽取结果公示</a:t>
          </a:r>
          <a:endParaRPr lang="en-US" altLang="zh-CN" sz="1800" b="1"/>
        </a:p>
        <a:p>
          <a:endParaRPr lang="en-US" altLang="zh-CN" sz="1100"/>
        </a:p>
      </xdr:txBody>
    </xdr:sp>
    <xdr:clientData/>
  </xdr:twoCellAnchor>
  <xdr:twoCellAnchor>
    <xdr:from>
      <xdr:col>9</xdr:col>
      <xdr:colOff>6350</xdr:colOff>
      <xdr:row>11</xdr:row>
      <xdr:rowOff>121920</xdr:rowOff>
    </xdr:from>
    <xdr:to>
      <xdr:col>20</xdr:col>
      <xdr:colOff>496570</xdr:colOff>
      <xdr:row>33</xdr:row>
      <xdr:rowOff>154305</xdr:rowOff>
    </xdr:to>
    <xdr:sp>
      <xdr:nvSpPr>
        <xdr:cNvPr id="3" name="文本框 2"/>
        <xdr:cNvSpPr txBox="1"/>
      </xdr:nvSpPr>
      <xdr:spPr>
        <a:xfrm>
          <a:off x="9262745" y="2079625"/>
          <a:ext cx="8054975" cy="3943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400" b="1"/>
            <a:t>区间复合平均价浮动法	</a:t>
          </a:r>
          <a:endParaRPr lang="zh-CN" altLang="en-US" sz="1400"/>
        </a:p>
        <a:p>
          <a:pPr algn="l"/>
          <a:r>
            <a:rPr lang="zh-CN" altLang="en-US" sz="1400"/>
            <a:t>A.计算基准价</a:t>
          </a:r>
          <a:endParaRPr lang="zh-CN" altLang="en-US" sz="1400"/>
        </a:p>
        <a:p>
          <a:pPr algn="l"/>
          <a:r>
            <a:rPr lang="zh-CN" altLang="en-US" sz="1400"/>
            <a:t>1.判断初评合格投标人数量M个，M≤5时，计算进入详评的投标人（M个）评标价算术平均值 A1，A1*（1+c）为基准价。</a:t>
          </a:r>
          <a:endParaRPr lang="zh-CN" altLang="en-US" sz="1400"/>
        </a:p>
        <a:p>
          <a:pPr algn="l"/>
          <a:r>
            <a:rPr lang="zh-CN" altLang="en-US" sz="1400"/>
            <a:t>2. 计算进入详评的投标人M个，M&gt;5时，计算进入详评的投标人（M个）评标价算术平均值 A2，判定M个评标价是否均在平均值区间1：[A2×（1+a）,A2×（1+b）]范围外。</a:t>
          </a:r>
          <a:endParaRPr lang="zh-CN" altLang="en-US" sz="1400"/>
        </a:p>
        <a:p>
          <a:pPr algn="l"/>
          <a:r>
            <a:rPr lang="zh-CN" altLang="en-US" sz="1400"/>
            <a:t>（1） 如果均在范围外（含区间临界值），则计算M个进入详评的投标人评标价的算术平均值A3，A3*（1+c）为基准价。</a:t>
          </a:r>
          <a:endParaRPr lang="zh-CN" altLang="en-US" sz="1400"/>
        </a:p>
        <a:p>
          <a:pPr algn="l"/>
          <a:r>
            <a:rPr lang="zh-CN" altLang="en-US" sz="1400"/>
            <a:t>（2） 如果存在评标价在区间1范围内（不含区间临界值），则计算区间1内的N个投标人（N≤M）评标价算术平均值A4，A4*（1+c）为基准价。</a:t>
          </a:r>
          <a:endParaRPr lang="zh-CN" altLang="en-US" sz="1400"/>
        </a:p>
        <a:p>
          <a:pPr algn="l"/>
          <a:r>
            <a:rPr lang="zh-CN" altLang="en-US" sz="1400"/>
            <a:t>	</a:t>
          </a:r>
          <a:endParaRPr lang="zh-CN" altLang="en-US" sz="1400"/>
        </a:p>
        <a:p>
          <a:pPr algn="l"/>
          <a:r>
            <a:rPr lang="zh-CN" altLang="en-US" sz="1400"/>
            <a:t>B.基准价和评标价的比对并计算价格分</a:t>
          </a:r>
          <a:endParaRPr lang="zh-CN" altLang="en-US" sz="1400"/>
        </a:p>
        <a:p>
          <a:pPr algn="l"/>
          <a:r>
            <a:rPr lang="zh-CN" altLang="en-US" sz="1400"/>
            <a:t>1.如果评标价≥基准价，n=n1；如果评标价＜基准价，n=n2；</a:t>
          </a:r>
          <a:endParaRPr lang="zh-CN" altLang="en-US" sz="1400"/>
        </a:p>
        <a:p>
          <a:pPr algn="l"/>
          <a:r>
            <a:rPr lang="zh-CN" altLang="en-US" sz="1400"/>
            <a:t>2.计算价格分，价格分=100-100×n×|投标人的评标总价-基准价|/基准价；判断价格分是否小于0，如果小于0，则价格分为0。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402590</xdr:colOff>
      <xdr:row>0</xdr:row>
      <xdr:rowOff>53975</xdr:rowOff>
    </xdr:from>
    <xdr:to>
      <xdr:col>16</xdr:col>
      <xdr:colOff>239395</xdr:colOff>
      <xdr:row>6</xdr:row>
      <xdr:rowOff>73660</xdr:rowOff>
    </xdr:to>
    <xdr:sp>
      <xdr:nvSpPr>
        <xdr:cNvPr id="2" name="文本框 1"/>
        <xdr:cNvSpPr txBox="1"/>
      </xdr:nvSpPr>
      <xdr:spPr>
        <a:xfrm>
          <a:off x="7606030" y="53975"/>
          <a:ext cx="6026150" cy="1088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/>
            <a:t>说明：</a:t>
          </a:r>
          <a:endParaRPr lang="en-US" altLang="zh-CN" sz="1400" b="1"/>
        </a:p>
        <a:p>
          <a:r>
            <a:rPr lang="en-US" altLang="zh-CN" sz="1400" b="1"/>
            <a:t>1.</a:t>
          </a:r>
          <a:r>
            <a:rPr lang="zh-CN" altLang="en-US" sz="1400" b="1"/>
            <a:t>绿色为使用人自己填充的内容</a:t>
          </a:r>
          <a:endParaRPr lang="en-US" altLang="zh-CN" sz="1400" b="1"/>
        </a:p>
        <a:p>
          <a:r>
            <a:rPr lang="en-US" altLang="zh-CN" sz="1400" b="1"/>
            <a:t>2.</a:t>
          </a:r>
          <a:r>
            <a:rPr lang="zh-CN" altLang="en-US" sz="1400" b="1"/>
            <a:t>参数来源于：</a:t>
          </a:r>
          <a:r>
            <a:rPr lang="en-US" altLang="zh-CN" sz="1400" b="1"/>
            <a:t>n1</a:t>
          </a:r>
          <a:r>
            <a:rPr lang="zh-CN" altLang="en-US" sz="1400" b="1"/>
            <a:t>、</a:t>
          </a:r>
          <a:r>
            <a:rPr lang="en-US" altLang="zh-CN" sz="1400" b="1"/>
            <a:t>n2</a:t>
          </a:r>
          <a:r>
            <a:rPr lang="zh-CN" altLang="en-US" sz="1400" b="1"/>
            <a:t>、价格分占比来源于招标文件</a:t>
          </a:r>
          <a:endParaRPr lang="zh-CN" altLang="en-US" sz="1400" b="1"/>
        </a:p>
      </xdr:txBody>
    </xdr:sp>
    <xdr:clientData/>
  </xdr:twoCellAnchor>
  <xdr:twoCellAnchor>
    <xdr:from>
      <xdr:col>7</xdr:col>
      <xdr:colOff>457200</xdr:colOff>
      <xdr:row>7</xdr:row>
      <xdr:rowOff>107950</xdr:rowOff>
    </xdr:from>
    <xdr:to>
      <xdr:col>16</xdr:col>
      <xdr:colOff>203200</xdr:colOff>
      <xdr:row>22</xdr:row>
      <xdr:rowOff>12700</xdr:rowOff>
    </xdr:to>
    <xdr:sp>
      <xdr:nvSpPr>
        <xdr:cNvPr id="3" name="文本框 2"/>
        <xdr:cNvSpPr txBox="1"/>
      </xdr:nvSpPr>
      <xdr:spPr>
        <a:xfrm>
          <a:off x="7660640" y="1354455"/>
          <a:ext cx="5935345" cy="2571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400" b="1"/>
            <a:t>简单算术平均值法</a:t>
          </a:r>
          <a:endParaRPr lang="zh-CN" altLang="en-US" sz="1400"/>
        </a:p>
        <a:p>
          <a:pPr algn="l"/>
          <a:r>
            <a:rPr lang="zh-CN" altLang="en-US" sz="1400"/>
            <a:t>评标（审）价格得分=100–100×n×|投标（应答）人评标（审）价格-基准价|/基准价（四舍五入取小数点后两位）</a:t>
          </a:r>
          <a:endParaRPr lang="zh-CN" altLang="en-US" sz="1400"/>
        </a:p>
        <a:p>
          <a:pPr algn="l"/>
          <a:r>
            <a:rPr lang="zh-CN" altLang="en-US" sz="1400"/>
            <a:t>当投标（应答）人的评标（审）价格&gt;=基准价时，n=n1；</a:t>
          </a:r>
          <a:endParaRPr lang="zh-CN" altLang="en-US" sz="1400"/>
        </a:p>
        <a:p>
          <a:pPr algn="l"/>
          <a:r>
            <a:rPr lang="zh-CN" altLang="en-US" sz="1400"/>
            <a:t>当投标（应答）人的评标（审）价格&lt;基准价时，n=n2。</a:t>
          </a:r>
          <a:endParaRPr lang="zh-CN" altLang="en-US" sz="1400"/>
        </a:p>
        <a:p>
          <a:pPr algn="l"/>
          <a:r>
            <a:rPr lang="zh-CN" altLang="en-US" sz="1400"/>
            <a:t>说明：</a:t>
          </a:r>
          <a:endParaRPr lang="zh-CN" altLang="en-US" sz="1400"/>
        </a:p>
        <a:p>
          <a:pPr algn="l"/>
          <a:r>
            <a:rPr lang="zh-CN" altLang="en-US" sz="1400"/>
            <a:t>（1）基准价为初步评审合格投标（应答）人的评标（审）价格算术平均值。</a:t>
          </a:r>
          <a:endParaRPr lang="zh-CN" altLang="en-US" sz="1400"/>
        </a:p>
        <a:p>
          <a:pPr algn="l"/>
          <a:r>
            <a:rPr lang="zh-CN" altLang="en-US" sz="1400"/>
            <a:t>（2）价格得分如出现负分，则按零分计。</a:t>
          </a:r>
          <a:endParaRPr lang="zh-CN" altLang="en-US" sz="1400"/>
        </a:p>
        <a:p>
          <a:pPr algn="l"/>
          <a:r>
            <a:rPr lang="zh-CN" altLang="en-US" sz="1400"/>
            <a:t>（3）n1=1，n2=0.8。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266065</xdr:colOff>
      <xdr:row>1</xdr:row>
      <xdr:rowOff>26670</xdr:rowOff>
    </xdr:from>
    <xdr:to>
      <xdr:col>17</xdr:col>
      <xdr:colOff>547370</xdr:colOff>
      <xdr:row>9</xdr:row>
      <xdr:rowOff>27305</xdr:rowOff>
    </xdr:to>
    <xdr:sp>
      <xdr:nvSpPr>
        <xdr:cNvPr id="2" name="文本框 1"/>
        <xdr:cNvSpPr txBox="1"/>
      </xdr:nvSpPr>
      <xdr:spPr>
        <a:xfrm>
          <a:off x="8028940" y="204470"/>
          <a:ext cx="7158355" cy="1423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/>
            <a:t>说明：</a:t>
          </a:r>
          <a:endParaRPr lang="en-US" altLang="zh-CN" sz="1800" b="1"/>
        </a:p>
        <a:p>
          <a:r>
            <a:rPr lang="en-US" altLang="zh-CN" sz="1800" b="1"/>
            <a:t>1.</a:t>
          </a:r>
          <a:r>
            <a:rPr lang="zh-CN" altLang="en-US" sz="1800" b="1"/>
            <a:t>绿色为使用人自己填充的内容</a:t>
          </a:r>
          <a:endParaRPr lang="en-US" altLang="zh-CN" sz="1800" b="1"/>
        </a:p>
        <a:p>
          <a:r>
            <a:rPr lang="en-US" altLang="zh-CN" sz="1800" b="1"/>
            <a:t>2.</a:t>
          </a:r>
          <a:r>
            <a:rPr lang="zh-CN" altLang="en-US" sz="1800" b="1"/>
            <a:t>参数来源于：</a:t>
          </a:r>
          <a:r>
            <a:rPr lang="en-US" altLang="zh-CN" sz="1800" b="1"/>
            <a:t>n1</a:t>
          </a:r>
          <a:r>
            <a:rPr lang="zh-CN" altLang="en-US" sz="1800" b="1"/>
            <a:t>、</a:t>
          </a:r>
          <a:r>
            <a:rPr lang="en-US" altLang="zh-CN" sz="1800" b="1"/>
            <a:t>n2</a:t>
          </a:r>
          <a:r>
            <a:rPr lang="zh-CN" altLang="en-US" sz="1800" b="1"/>
            <a:t>、价格分占比来源于招标文件；</a:t>
          </a:r>
          <a:r>
            <a:rPr lang="en-US" altLang="zh-CN" sz="1800" b="1"/>
            <a:t>c</a:t>
          </a:r>
          <a:r>
            <a:rPr lang="zh-CN" altLang="en-US" sz="1800" b="1"/>
            <a:t>值来源于招标文件或者</a:t>
          </a:r>
          <a:r>
            <a:rPr lang="en-US" altLang="zh-CN" sz="1800" b="1"/>
            <a:t>ecp2.0</a:t>
          </a:r>
          <a:r>
            <a:rPr lang="zh-CN" altLang="en-US" sz="1800" b="1"/>
            <a:t>平台</a:t>
          </a:r>
          <a:r>
            <a:rPr lang="en-US" altLang="zh-CN" sz="1800" b="1"/>
            <a:t>-</a:t>
          </a:r>
          <a:r>
            <a:rPr lang="zh-CN" altLang="en-US" sz="1800" b="1"/>
            <a:t>公共信息</a:t>
          </a:r>
          <a:r>
            <a:rPr lang="en-US" altLang="zh-CN" sz="1800" b="1"/>
            <a:t>-</a:t>
          </a:r>
          <a:r>
            <a:rPr lang="zh-CN" altLang="en-US" sz="1800" b="1"/>
            <a:t>基准价浮动系数抽取结果公示</a:t>
          </a:r>
          <a:endParaRPr lang="en-US" altLang="zh-CN" sz="1800" b="1"/>
        </a:p>
        <a:p>
          <a:endParaRPr lang="en-US" altLang="zh-CN" sz="1100"/>
        </a:p>
      </xdr:txBody>
    </xdr:sp>
    <xdr:clientData/>
  </xdr:twoCellAnchor>
  <xdr:twoCellAnchor>
    <xdr:from>
      <xdr:col>7</xdr:col>
      <xdr:colOff>257175</xdr:colOff>
      <xdr:row>9</xdr:row>
      <xdr:rowOff>162560</xdr:rowOff>
    </xdr:from>
    <xdr:to>
      <xdr:col>18</xdr:col>
      <xdr:colOff>389255</xdr:colOff>
      <xdr:row>27</xdr:row>
      <xdr:rowOff>139700</xdr:rowOff>
    </xdr:to>
    <xdr:sp>
      <xdr:nvSpPr>
        <xdr:cNvPr id="3" name="文本框 2"/>
        <xdr:cNvSpPr txBox="1"/>
      </xdr:nvSpPr>
      <xdr:spPr>
        <a:xfrm>
          <a:off x="8020050" y="1762760"/>
          <a:ext cx="7696835" cy="3177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400" b="1"/>
            <a:t>算术平均值下浮法</a:t>
          </a:r>
          <a:endParaRPr lang="zh-CN" altLang="en-US" sz="1400"/>
        </a:p>
        <a:p>
          <a:pPr algn="l"/>
          <a:endParaRPr lang="zh-CN" altLang="en-US" sz="1400"/>
        </a:p>
        <a:p>
          <a:pPr algn="l"/>
          <a:r>
            <a:rPr lang="zh-CN" altLang="en-US" sz="1400"/>
            <a:t>A.计算基准价</a:t>
          </a:r>
          <a:endParaRPr lang="zh-CN" altLang="en-US" sz="1400"/>
        </a:p>
        <a:p>
          <a:pPr algn="l"/>
          <a:r>
            <a:rPr lang="zh-CN" altLang="en-US" sz="1400"/>
            <a:t>计算进入详评的投标人（M个）评标价算术平均值，基准价=A1×（1+C）</a:t>
          </a:r>
          <a:endParaRPr lang="zh-CN" altLang="en-US" sz="1400"/>
        </a:p>
        <a:p>
          <a:pPr algn="l"/>
          <a:r>
            <a:rPr lang="zh-CN" altLang="en-US" sz="1400"/>
            <a:t>其中C为基准价浮动系数，C值：[-1.5%，0%]、级差为0.25%，由招标人代表和监察人在开标现场共同随机抽取并公布。（注：本批次共抽取一个C值，作为所有标包的基准价浮动系数）</a:t>
          </a:r>
          <a:endParaRPr lang="zh-CN" altLang="en-US" sz="1400"/>
        </a:p>
        <a:p>
          <a:pPr algn="l"/>
          <a:r>
            <a:rPr lang="zh-CN" altLang="en-US" sz="1400"/>
            <a:t>B.基准价和评标价的比对并计算价格分</a:t>
          </a:r>
          <a:endParaRPr lang="zh-CN" altLang="en-US" sz="1400"/>
        </a:p>
        <a:p>
          <a:pPr algn="l"/>
          <a:r>
            <a:rPr lang="zh-CN" altLang="en-US" sz="1400"/>
            <a:t>1.如果评标价&gt;=基准价，n=n1；</a:t>
          </a:r>
          <a:endParaRPr lang="zh-CN" altLang="en-US" sz="1400"/>
        </a:p>
        <a:p>
          <a:pPr algn="l"/>
          <a:r>
            <a:rPr lang="zh-CN" altLang="en-US" sz="1400"/>
            <a:t>如果评标价&lt;基准价，n=n2；</a:t>
          </a:r>
          <a:endParaRPr lang="zh-CN" altLang="en-US" sz="1400"/>
        </a:p>
        <a:p>
          <a:pPr algn="l"/>
          <a:r>
            <a:rPr lang="zh-CN" altLang="en-US" sz="1400"/>
            <a:t>2.计算价格分，价格分=100-100×n×|投标人的评标总价-基准价|/基准价；</a:t>
          </a:r>
          <a:endParaRPr lang="zh-CN" altLang="en-US" sz="1400"/>
        </a:p>
        <a:p>
          <a:pPr algn="l"/>
          <a:r>
            <a:rPr lang="zh-CN" altLang="en-US" sz="1400"/>
            <a:t>C.判断价格分是否小于0，如果小于0，则价格分为0。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19</xdr:col>
      <xdr:colOff>654050</xdr:colOff>
      <xdr:row>7</xdr:row>
      <xdr:rowOff>70485</xdr:rowOff>
    </xdr:to>
    <xdr:sp>
      <xdr:nvSpPr>
        <xdr:cNvPr id="2" name="文本框 1"/>
        <xdr:cNvSpPr txBox="1"/>
      </xdr:nvSpPr>
      <xdr:spPr>
        <a:xfrm>
          <a:off x="9278620" y="177800"/>
          <a:ext cx="6843395" cy="1137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/>
            <a:t>说明：</a:t>
          </a:r>
          <a:endParaRPr lang="en-US" altLang="zh-CN" sz="1400" b="1"/>
        </a:p>
        <a:p>
          <a:r>
            <a:rPr lang="en-US" altLang="zh-CN" sz="1400" b="1"/>
            <a:t>1.</a:t>
          </a:r>
          <a:r>
            <a:rPr lang="zh-CN" altLang="en-US" sz="1400" b="1"/>
            <a:t>绿色为使用人自己填充的内容</a:t>
          </a:r>
          <a:endParaRPr lang="en-US" altLang="zh-CN" sz="1400" b="1"/>
        </a:p>
        <a:p>
          <a:r>
            <a:rPr lang="en-US" altLang="zh-CN" sz="1400" b="1"/>
            <a:t>2.</a:t>
          </a:r>
          <a:r>
            <a:rPr lang="zh-CN" altLang="en-US" sz="1400" b="1"/>
            <a:t>参数来源于：</a:t>
          </a:r>
          <a:r>
            <a:rPr lang="en-US" altLang="zh-CN" sz="1400" b="1"/>
            <a:t>F1</a:t>
          </a:r>
          <a:r>
            <a:rPr lang="zh-CN" altLang="en-US" sz="1400" b="1"/>
            <a:t>、</a:t>
          </a:r>
          <a:r>
            <a:rPr lang="en-US" altLang="zh-CN" sz="1400" b="1"/>
            <a:t>F2</a:t>
          </a:r>
          <a:r>
            <a:rPr lang="zh-CN" altLang="en-US" sz="1400" b="1"/>
            <a:t>、</a:t>
          </a:r>
          <a:r>
            <a:rPr lang="en-US" altLang="zh-CN" sz="1400" b="1"/>
            <a:t>n</a:t>
          </a:r>
          <a:r>
            <a:rPr lang="zh-CN" altLang="en-US" sz="1400" b="1"/>
            <a:t>、</a:t>
          </a:r>
          <a:r>
            <a:rPr lang="en-US" altLang="zh-CN" sz="1400" b="1"/>
            <a:t>m</a:t>
          </a:r>
          <a:r>
            <a:rPr lang="zh-CN" altLang="en-US" sz="1400" b="1"/>
            <a:t>、价格分占比来源于招标文件；</a:t>
          </a:r>
          <a:r>
            <a:rPr lang="en-US" altLang="zh-CN" sz="1400" b="1"/>
            <a:t>a</a:t>
          </a:r>
          <a:r>
            <a:rPr lang="zh-CN" altLang="en-US" sz="1400" b="1"/>
            <a:t>值来源于招标文件或者</a:t>
          </a:r>
          <a:r>
            <a:rPr lang="en-US" altLang="zh-CN" sz="1400" b="1"/>
            <a:t>ecp2.0</a:t>
          </a:r>
          <a:r>
            <a:rPr lang="zh-CN" altLang="en-US" sz="1400" b="1"/>
            <a:t>平台</a:t>
          </a:r>
          <a:r>
            <a:rPr lang="en-US" altLang="zh-CN" sz="1400" b="1"/>
            <a:t>-</a:t>
          </a:r>
          <a:r>
            <a:rPr lang="zh-CN" altLang="en-US" sz="1400" b="1"/>
            <a:t>公共信息</a:t>
          </a:r>
          <a:r>
            <a:rPr lang="en-US" altLang="zh-CN" sz="1400" b="1"/>
            <a:t>-</a:t>
          </a:r>
          <a:r>
            <a:rPr lang="zh-CN" altLang="en-US" sz="1400" b="1"/>
            <a:t>基准价浮动系数抽取结果公示</a:t>
          </a:r>
          <a:endParaRPr lang="en-US" altLang="zh-CN" sz="1400" b="1"/>
        </a:p>
        <a:p>
          <a:endParaRPr lang="en-US" altLang="zh-CN" sz="1400" b="1"/>
        </a:p>
      </xdr:txBody>
    </xdr:sp>
    <xdr:clientData/>
  </xdr:twoCellAnchor>
  <xdr:twoCellAnchor>
    <xdr:from>
      <xdr:col>10</xdr:col>
      <xdr:colOff>60960</xdr:colOff>
      <xdr:row>10</xdr:row>
      <xdr:rowOff>88900</xdr:rowOff>
    </xdr:from>
    <xdr:to>
      <xdr:col>20</xdr:col>
      <xdr:colOff>383540</xdr:colOff>
      <xdr:row>26</xdr:row>
      <xdr:rowOff>153670</xdr:rowOff>
    </xdr:to>
    <xdr:sp>
      <xdr:nvSpPr>
        <xdr:cNvPr id="3" name="文本框 2"/>
        <xdr:cNvSpPr txBox="1"/>
      </xdr:nvSpPr>
      <xdr:spPr>
        <a:xfrm>
          <a:off x="9339580" y="1866900"/>
          <a:ext cx="7199630" cy="290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600" b="1"/>
            <a:t>区间平均下浮双边曲线算法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600"/>
            <a:t>计算价格得分：设A1=全部有效报价算术均值，F1,F2为有效报价的上下区间比例，则，A2=[F1*A1，F2*A1]内有效报价的算术均值，a为下浮系数，则，基准价B=A2×（1-a）；</a:t>
          </a:r>
          <a:endParaRPr lang="zh-CN" altLang="en-US" sz="1600"/>
        </a:p>
        <a:p>
          <a:pPr algn="l"/>
          <a:r>
            <a:rPr lang="zh-CN" altLang="en-US" sz="1600"/>
            <a:t>若全部有效报价均在[F1*A1，F2*A1]区外，则，基准价B=A1×（1-a）。</a:t>
          </a:r>
          <a:endParaRPr lang="zh-CN" altLang="en-US" sz="1600"/>
        </a:p>
        <a:p>
          <a:pPr algn="l"/>
          <a:r>
            <a:rPr lang="zh-CN" altLang="en-US" sz="1600"/>
            <a:t>当投标人的评标总价P＞=基准价B，得分=（基准价B/评标总价P）n×100；</a:t>
          </a:r>
          <a:endParaRPr lang="zh-CN" altLang="en-US" sz="1600"/>
        </a:p>
        <a:p>
          <a:pPr algn="l"/>
          <a:r>
            <a:rPr lang="zh-CN" altLang="en-US" sz="1600"/>
            <a:t>当投标人的评标总价P&lt;基准价B，得分=（评标总价P/基准价B）m×100。</a:t>
          </a:r>
          <a:endParaRPr lang="zh-CN" altLang="en-US" sz="1600"/>
        </a:p>
        <a:p>
          <a:pPr algn="l"/>
          <a:r>
            <a:rPr lang="zh-CN" altLang="en-US" sz="1600"/>
            <a:t>n为正向减分速率、m为负向减分速率。</a:t>
          </a:r>
          <a:endParaRPr lang="zh-CN" altLang="en-US" sz="1600"/>
        </a:p>
        <a:p>
          <a:pPr algn="l"/>
          <a:endParaRPr lang="zh-CN" altLang="en-US" sz="16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170815</xdr:colOff>
      <xdr:row>6</xdr:row>
      <xdr:rowOff>173990</xdr:rowOff>
    </xdr:to>
    <xdr:sp>
      <xdr:nvSpPr>
        <xdr:cNvPr id="2" name="文本框 1"/>
        <xdr:cNvSpPr txBox="1"/>
      </xdr:nvSpPr>
      <xdr:spPr>
        <a:xfrm>
          <a:off x="8315960" y="177800"/>
          <a:ext cx="4297045" cy="10629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/>
            <a:t>说明：</a:t>
          </a:r>
          <a:endParaRPr lang="en-US" altLang="zh-CN" sz="1400" b="1"/>
        </a:p>
        <a:p>
          <a:r>
            <a:rPr lang="en-US" altLang="zh-CN" sz="1400" b="1"/>
            <a:t>1.</a:t>
          </a:r>
          <a:r>
            <a:rPr lang="zh-CN" altLang="en-US" sz="1400" b="1"/>
            <a:t>绿色为使用人自己填充的内容</a:t>
          </a:r>
          <a:endParaRPr lang="en-US" altLang="zh-CN" sz="1400" b="1"/>
        </a:p>
        <a:p>
          <a:r>
            <a:rPr lang="en-US" altLang="zh-CN" sz="1400" b="1"/>
            <a:t>2.</a:t>
          </a:r>
          <a:r>
            <a:rPr lang="zh-CN" altLang="en-US" sz="1400" b="1"/>
            <a:t>参数来源于：招标文件</a:t>
          </a:r>
          <a:endParaRPr lang="zh-CN" altLang="en-US" sz="1400" b="1"/>
        </a:p>
      </xdr:txBody>
    </xdr:sp>
    <xdr:clientData/>
  </xdr:twoCellAnchor>
  <xdr:twoCellAnchor>
    <xdr:from>
      <xdr:col>7</xdr:col>
      <xdr:colOff>660400</xdr:colOff>
      <xdr:row>7</xdr:row>
      <xdr:rowOff>133350</xdr:rowOff>
    </xdr:from>
    <xdr:to>
      <xdr:col>15</xdr:col>
      <xdr:colOff>398145</xdr:colOff>
      <xdr:row>12</xdr:row>
      <xdr:rowOff>172085</xdr:rowOff>
    </xdr:to>
    <xdr:sp>
      <xdr:nvSpPr>
        <xdr:cNvPr id="3" name="文本框 2"/>
        <xdr:cNvSpPr txBox="1"/>
      </xdr:nvSpPr>
      <xdr:spPr>
        <a:xfrm>
          <a:off x="8288655" y="1377950"/>
          <a:ext cx="5239385" cy="927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400" b="1"/>
            <a:t>最低价法：</a:t>
          </a:r>
          <a:endParaRPr lang="zh-CN" altLang="en-US" sz="1400"/>
        </a:p>
        <a:p>
          <a:pPr algn="l"/>
          <a:r>
            <a:rPr lang="zh-CN" altLang="en-US" sz="1400"/>
            <a:t>价格部分得分=100×基准价/投标报价</a:t>
          </a:r>
          <a:endParaRPr lang="zh-CN" altLang="en-US" sz="1400"/>
        </a:p>
        <a:p>
          <a:pPr algn="l"/>
          <a:r>
            <a:rPr lang="zh-CN" altLang="en-US" sz="1400"/>
            <a:t>其中，基准价为进入详评的投标人的最低价。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9"/>
  <sheetViews>
    <sheetView zoomScale="145" zoomScaleNormal="145" workbookViewId="0">
      <selection activeCell="D9" sqref="D9"/>
    </sheetView>
  </sheetViews>
  <sheetFormatPr defaultColWidth="8.69090909090909" defaultRowHeight="14"/>
  <cols>
    <col min="2" max="2" width="31.2272727272727" customWidth="1"/>
  </cols>
  <sheetData>
    <row r="2" spans="2:14">
      <c r="B2" s="66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2:14">
      <c r="B3" s="68" t="s">
        <v>1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2:14">
      <c r="B4" s="69" t="s">
        <v>2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2:14"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</row>
    <row r="6" spans="2:14"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2:14"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</row>
    <row r="8" spans="2:14"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</row>
    <row r="9" spans="2:14"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</row>
    <row r="10" spans="2:14"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 spans="2:14"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</row>
    <row r="12" spans="2:14"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</row>
    <row r="13" spans="2:14"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</row>
    <row r="14" spans="2:14"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</row>
    <row r="15" spans="2:14"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</row>
    <row r="16" spans="2:14"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</row>
    <row r="17" spans="4:14"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</row>
    <row r="18" spans="4:14"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</row>
    <row r="19" spans="4:14"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tabSelected="1" zoomScale="85" zoomScaleNormal="85" workbookViewId="0">
      <pane ySplit="26" topLeftCell="A27" activePane="bottomLeft" state="frozen"/>
      <selection/>
      <selection pane="bottomLeft" activeCell="C31" sqref="C31"/>
    </sheetView>
  </sheetViews>
  <sheetFormatPr defaultColWidth="9.84545454545455" defaultRowHeight="14"/>
  <cols>
    <col min="1" max="1" width="14.8454545454545" style="1" customWidth="1"/>
    <col min="2" max="2" width="14" style="26"/>
    <col min="3" max="3" width="12.9181818181818" style="53"/>
    <col min="4" max="4" width="10" style="7"/>
    <col min="5" max="5" width="2.37272727272727" style="7" customWidth="1"/>
    <col min="6" max="7" width="12.1545454545455" style="2" customWidth="1"/>
    <col min="8" max="8" width="6.46363636363636" style="2" customWidth="1"/>
    <col min="9" max="9" width="29.8454545454545" style="2" customWidth="1"/>
    <col min="10" max="10" width="14" style="2"/>
    <col min="11" max="12" width="12.8454545454545" style="2"/>
    <col min="13" max="16384" width="9.84545454545455" style="2"/>
  </cols>
  <sheetData>
    <row r="1" ht="14.5" spans="1:10">
      <c r="A1" s="54" t="s">
        <v>3</v>
      </c>
      <c r="B1" s="64" t="s">
        <v>4</v>
      </c>
      <c r="C1" s="56" t="s">
        <v>5</v>
      </c>
      <c r="D1" s="54" t="s">
        <v>6</v>
      </c>
      <c r="E1" s="54"/>
      <c r="F1" s="54" t="s">
        <v>7</v>
      </c>
      <c r="G1" s="54" t="s">
        <v>8</v>
      </c>
      <c r="I1" s="4" t="s">
        <v>9</v>
      </c>
    </row>
    <row r="2" spans="1:10">
      <c r="A2" s="1" t="s">
        <v>10</v>
      </c>
      <c r="B2" s="26">
        <v>767.077109</v>
      </c>
      <c r="C2" s="27">
        <f>IF(B2="不开标",0,ROUND(100-100*IF(B2&gt;=J$17,J$4,J$5)*ABS(B2-J$17)/J$17,4))</f>
        <v>99.3398</v>
      </c>
      <c r="D2" s="7">
        <f>IF(B2="不开标","",_xlfn.RANK.EQ(C2,C:C,0))</f>
        <v>22</v>
      </c>
      <c r="F2" s="2" t="b">
        <f>IF(B2="不开标",FALSE,IF($J$12&lt;=5,TRUE,IF($J$12&lt;=10,IF(OR(B2=MAX($B:$B),B2=MIN($B:$B)),FALSE,TRUE),IF($J$12&lt;=20,IF(OR(B2=LARGE($B:$B,1),B2=LARGE($B:$B,2),B2=MIN($B:$B)),FALSE,TRUE),IF($J$12&lt;=30,IF(OR(B2=LARGE($B:$B,1),B2=LARGE($B:$B,2),B2=LARGE($B:$B,3),B2=SMALL($B:$B,1),B2=SMALL($B:$B,2)),FALSE,TRUE),IF(OR(B2=LARGE($B:$B,1),B2=LARGE($B:$B,2),B2=LARGE($B:$B,3),B2=LARGE($B:$B,4),B2=SMALL($B:$B,1),B2=SMALL($B:$B,2),B2=SMALL($B:$B,3)),FALSE,TRUE))))))</f>
        <v>0</v>
      </c>
      <c r="G2" s="2" t="b">
        <f>IF(F2=TRUE,IF(AND(B2&lt;J$14,B2&gt;J$15),FALSE,TRUE),FALSE)</f>
        <v>0</v>
      </c>
      <c r="I2" s="9" t="s">
        <v>11</v>
      </c>
      <c r="J2" s="29">
        <v>-0.15</v>
      </c>
    </row>
    <row r="3" spans="1:10">
      <c r="A3" s="1" t="s">
        <v>12</v>
      </c>
      <c r="B3" s="26">
        <v>770.0837</v>
      </c>
      <c r="C3" s="27">
        <f>IF(B3="不开标",0,ROUND(100-100*IF(B3&gt;=J$17,J$4,J$5)*ABS(B3-J$17)/J$17,4))</f>
        <v>99.5332</v>
      </c>
      <c r="D3" s="7">
        <f>IF(B3="不开标","",_xlfn.RANK.EQ(C3,C:C,0))</f>
        <v>19</v>
      </c>
      <c r="F3" s="2" t="b">
        <f>IF(B3="不开标",FALSE,IF($J$12&lt;=5,TRUE,IF($J$12&lt;=10,IF(OR(B3=MAX($B:$B),B3=MIN($B:$B)),FALSE,TRUE),IF($J$12&lt;=20,IF(OR(B3=LARGE($B:$B,1),B3=LARGE($B:$B,2),B3=MIN($B:$B)),FALSE,TRUE),IF($J$12&lt;=30,IF(OR(B3=LARGE($B:$B,1),B3=LARGE($B:$B,2),B3=LARGE($B:$B,3),B3=SMALL($B:$B,1),B3=SMALL($B:$B,2)),FALSE,TRUE),IF(OR(B3=LARGE($B:$B,1),B3=LARGE($B:$B,2),B3=LARGE($B:$B,3),B3=LARGE($B:$B,4),B3=SMALL($B:$B,1),B3=SMALL($B:$B,2),B3=SMALL($B:$B,3)),FALSE,TRUE))))))</f>
        <v>0</v>
      </c>
      <c r="G3" s="2" t="b">
        <f>IF(F3=TRUE,IF(AND(B3&lt;J$14,B3&gt;J$15),FALSE,TRUE),FALSE)</f>
        <v>0</v>
      </c>
      <c r="I3" s="9" t="s">
        <v>13</v>
      </c>
      <c r="J3" s="29">
        <v>0.1</v>
      </c>
    </row>
    <row r="4" spans="1:10">
      <c r="A4" s="1" t="s">
        <v>14</v>
      </c>
      <c r="B4" s="26">
        <v>770.675005</v>
      </c>
      <c r="C4" s="27">
        <f>IF(B4="不开标",0,ROUND(100-100*IF(B4&gt;=J$17,J$4,J$5)*ABS(B4-J$17)/J$17,4))</f>
        <v>99.5712</v>
      </c>
      <c r="D4" s="7">
        <f>IF(B4="不开标","",_xlfn.RANK.EQ(C4,C:C,0))</f>
        <v>18</v>
      </c>
      <c r="F4" s="2" t="b">
        <f>IF(B4="不开标",FALSE,IF($J$12&lt;=5,TRUE,IF($J$12&lt;=10,IF(OR(B4=MAX($B:$B),B4=MIN($B:$B)),FALSE,TRUE),IF($J$12&lt;=20,IF(OR(B4=LARGE($B:$B,1),B4=LARGE($B:$B,2),B4=MIN($B:$B)),FALSE,TRUE),IF($J$12&lt;=30,IF(OR(B4=LARGE($B:$B,1),B4=LARGE($B:$B,2),B4=LARGE($B:$B,3),B4=SMALL($B:$B,1),B4=SMALL($B:$B,2)),FALSE,TRUE),IF(OR(B4=LARGE($B:$B,1),B4=LARGE($B:$B,2),B4=LARGE($B:$B,3),B4=LARGE($B:$B,4),B4=SMALL($B:$B,1),B4=SMALL($B:$B,2),B4=SMALL($B:$B,3)),FALSE,TRUE))))))</f>
        <v>1</v>
      </c>
      <c r="G4" s="2" t="b">
        <f>IF(F4=TRUE,IF(AND(B4&lt;J$14,B4&gt;J$15),FALSE,TRUE),FALSE)</f>
        <v>1</v>
      </c>
      <c r="I4" s="9" t="s">
        <v>15</v>
      </c>
      <c r="J4" s="57">
        <v>1</v>
      </c>
    </row>
    <row r="5" spans="1:10">
      <c r="A5" s="1" t="s">
        <v>16</v>
      </c>
      <c r="B5" s="26">
        <v>772.331044</v>
      </c>
      <c r="C5" s="27">
        <f>IF(B5="不开标",0,ROUND(100-100*IF(B5&gt;=J$17,J$4,J$5)*ABS(B5-J$17)/J$17,4))</f>
        <v>99.6777</v>
      </c>
      <c r="D5" s="7">
        <f>IF(B5="不开标","",_xlfn.RANK.EQ(C5,C:C,0))</f>
        <v>15</v>
      </c>
      <c r="F5" s="2" t="b">
        <f>IF(B5="不开标",FALSE,IF($J$12&lt;=5,TRUE,IF($J$12&lt;=10,IF(OR(B5=MAX($B:$B),B5=MIN($B:$B)),FALSE,TRUE),IF($J$12&lt;=20,IF(OR(B5=LARGE($B:$B,1),B5=LARGE($B:$B,2),B5=MIN($B:$B)),FALSE,TRUE),IF($J$12&lt;=30,IF(OR(B5=LARGE($B:$B,1),B5=LARGE($B:$B,2),B5=LARGE($B:$B,3),B5=SMALL($B:$B,1),B5=SMALL($B:$B,2)),FALSE,TRUE),IF(OR(B5=LARGE($B:$B,1),B5=LARGE($B:$B,2),B5=LARGE($B:$B,3),B5=LARGE($B:$B,4),B5=SMALL($B:$B,1),B5=SMALL($B:$B,2),B5=SMALL($B:$B,3)),FALSE,TRUE))))))</f>
        <v>1</v>
      </c>
      <c r="G5" s="2" t="b">
        <f>IF(F5=TRUE,IF(AND(B5&lt;J$14,B5&gt;J$15),FALSE,TRUE),FALSE)</f>
        <v>1</v>
      </c>
      <c r="I5" s="9" t="s">
        <v>17</v>
      </c>
      <c r="J5" s="57">
        <v>0.5</v>
      </c>
    </row>
    <row r="6" spans="1:10">
      <c r="A6" s="1" t="s">
        <v>18</v>
      </c>
      <c r="B6" s="26">
        <v>772.7392</v>
      </c>
      <c r="C6" s="27">
        <f>IF(B6="不开标",0,ROUND(100-100*IF(B6&gt;=J$17,J$4,J$5)*ABS(B6-J$17)/J$17,4))</f>
        <v>99.704</v>
      </c>
      <c r="D6" s="7">
        <f>IF(B6="不开标","",_xlfn.RANK.EQ(C6,C:C,0))</f>
        <v>14</v>
      </c>
      <c r="F6" s="2" t="b">
        <f>IF(B6="不开标",FALSE,IF($J$12&lt;=5,TRUE,IF($J$12&lt;=10,IF(OR(B6=MAX($B:$B),B6=MIN($B:$B)),FALSE,TRUE),IF($J$12&lt;=20,IF(OR(B6=LARGE($B:$B,1),B6=LARGE($B:$B,2),B6=MIN($B:$B)),FALSE,TRUE),IF($J$12&lt;=30,IF(OR(B6=LARGE($B:$B,1),B6=LARGE($B:$B,2),B6=LARGE($B:$B,3),B6=SMALL($B:$B,1),B6=SMALL($B:$B,2)),FALSE,TRUE),IF(OR(B6=LARGE($B:$B,1),B6=LARGE($B:$B,2),B6=LARGE($B:$B,3),B6=LARGE($B:$B,4),B6=SMALL($B:$B,1),B6=SMALL($B:$B,2),B6=SMALL($B:$B,3)),FALSE,TRUE))))))</f>
        <v>1</v>
      </c>
      <c r="G6" s="2" t="b">
        <f>IF(F6=TRUE,IF(AND(B6&lt;J$14,B6&gt;J$15),FALSE,TRUE),FALSE)</f>
        <v>1</v>
      </c>
      <c r="I6" s="9" t="s">
        <v>19</v>
      </c>
      <c r="J6" s="65">
        <v>0</v>
      </c>
    </row>
    <row r="7" spans="1:10">
      <c r="A7" s="1" t="s">
        <v>20</v>
      </c>
      <c r="B7" s="26">
        <v>774.683239</v>
      </c>
      <c r="C7" s="27">
        <f>IF(B7="不开标",0,ROUND(100-100*IF(B7&gt;=J$17,J$4,J$5)*ABS(B7-J$17)/J$17,4))</f>
        <v>99.829</v>
      </c>
      <c r="D7" s="7">
        <f>IF(B7="不开标","",_xlfn.RANK.EQ(C7,C:C,0))</f>
        <v>5</v>
      </c>
      <c r="F7" s="2" t="b">
        <f>IF(B7="不开标",FALSE,IF($J$12&lt;=5,TRUE,IF($J$12&lt;=10,IF(OR(B7=MAX($B:$B),B7=MIN($B:$B)),FALSE,TRUE),IF($J$12&lt;=20,IF(OR(B7=LARGE($B:$B,1),B7=LARGE($B:$B,2),B7=MIN($B:$B)),FALSE,TRUE),IF($J$12&lt;=30,IF(OR(B7=LARGE($B:$B,1),B7=LARGE($B:$B,2),B7=LARGE($B:$B,3),B7=SMALL($B:$B,1),B7=SMALL($B:$B,2)),FALSE,TRUE),IF(OR(B7=LARGE($B:$B,1),B7=LARGE($B:$B,2),B7=LARGE($B:$B,3),B7=LARGE($B:$B,4),B7=SMALL($B:$B,1),B7=SMALL($B:$B,2),B7=SMALL($B:$B,3)),FALSE,TRUE))))))</f>
        <v>1</v>
      </c>
      <c r="G7" s="2" t="b">
        <f>IF(F7=TRUE,IF(AND(B7&lt;J$14,B7&gt;J$15),FALSE,TRUE),FALSE)</f>
        <v>1</v>
      </c>
      <c r="I7" s="9" t="s">
        <v>21</v>
      </c>
      <c r="J7" s="17">
        <v>785.165309677</v>
      </c>
    </row>
    <row r="8" spans="1:10">
      <c r="A8" s="1" t="s">
        <v>22</v>
      </c>
      <c r="B8" s="26">
        <v>774.705513</v>
      </c>
      <c r="C8" s="27">
        <f>IF(B8="不开标",0,ROUND(100-100*IF(B8&gt;=J$17,J$4,J$5)*ABS(B8-J$17)/J$17,4))</f>
        <v>99.8305</v>
      </c>
      <c r="D8" s="7">
        <f>IF(B8="不开标","",_xlfn.RANK.EQ(C8,C:C,0))</f>
        <v>4</v>
      </c>
      <c r="F8" s="2" t="b">
        <f>IF(B8="不开标",FALSE,IF($J$12&lt;=5,TRUE,IF($J$12&lt;=10,IF(OR(B8=MAX($B:$B),B8=MIN($B:$B)),FALSE,TRUE),IF($J$12&lt;=20,IF(OR(B8=LARGE($B:$B,1),B8=LARGE($B:$B,2),B8=MIN($B:$B)),FALSE,TRUE),IF($J$12&lt;=30,IF(OR(B8=LARGE($B:$B,1),B8=LARGE($B:$B,2),B8=LARGE($B:$B,3),B8=SMALL($B:$B,1),B8=SMALL($B:$B,2)),FALSE,TRUE),IF(OR(B8=LARGE($B:$B,1),B8=LARGE($B:$B,2),B8=LARGE($B:$B,3),B8=LARGE($B:$B,4),B8=SMALL($B:$B,1),B8=SMALL($B:$B,2),B8=SMALL($B:$B,3)),FALSE,TRUE))))))</f>
        <v>1</v>
      </c>
      <c r="G8" s="2" t="b">
        <f>IF(F8=TRUE,IF(AND(B8&lt;J$14,B8&gt;J$15),FALSE,TRUE),FALSE)</f>
        <v>1</v>
      </c>
      <c r="I8" s="9" t="s">
        <v>23</v>
      </c>
      <c r="J8" s="36">
        <v>0.3</v>
      </c>
    </row>
    <row r="9" spans="1:10">
      <c r="A9" s="1" t="s">
        <v>24</v>
      </c>
      <c r="B9" s="26">
        <v>775.3382</v>
      </c>
      <c r="C9" s="27">
        <f>IF(B9="不开标",0,ROUND(100-100*IF(B9&gt;=J$17,J$4,J$5)*ABS(B9-J$17)/J$17,4))</f>
        <v>99.8712</v>
      </c>
      <c r="D9" s="7">
        <f>IF(B9="不开标","",_xlfn.RANK.EQ(C9,C:C,0))</f>
        <v>3</v>
      </c>
      <c r="F9" s="2" t="b">
        <f>IF(B9="不开标",FALSE,IF($J$12&lt;=5,TRUE,IF($J$12&lt;=10,IF(OR(B9=MAX($B:$B),B9=MIN($B:$B)),FALSE,TRUE),IF($J$12&lt;=20,IF(OR(B9=LARGE($B:$B,1),B9=LARGE($B:$B,2),B9=MIN($B:$B)),FALSE,TRUE),IF($J$12&lt;=30,IF(OR(B9=LARGE($B:$B,1),B9=LARGE($B:$B,2),B9=LARGE($B:$B,3),B9=SMALL($B:$B,1),B9=SMALL($B:$B,2)),FALSE,TRUE),IF(OR(B9=LARGE($B:$B,1),B9=LARGE($B:$B,2),B9=LARGE($B:$B,3),B9=LARGE($B:$B,4),B9=SMALL($B:$B,1),B9=SMALL($B:$B,2),B9=SMALL($B:$B,3)),FALSE,TRUE))))))</f>
        <v>1</v>
      </c>
      <c r="G9" s="2" t="b">
        <f>IF(F9=TRUE,IF(AND(B9&lt;J$14,B9&gt;J$15),FALSE,TRUE),FALSE)</f>
        <v>1</v>
      </c>
    </row>
    <row r="10" spans="1:10">
      <c r="A10" s="1" t="s">
        <v>25</v>
      </c>
      <c r="B10" s="26">
        <v>775.43446</v>
      </c>
      <c r="C10" s="27">
        <f>IF(B10="不开标",0,ROUND(100-100*IF(B10&gt;=J$17,J$4,J$5)*ABS(B10-J$17)/J$17,4))</f>
        <v>99.8774</v>
      </c>
      <c r="D10" s="7">
        <f>IF(B10="不开标","",_xlfn.RANK.EQ(C10,C:C,0))</f>
        <v>2</v>
      </c>
      <c r="F10" s="2" t="b">
        <f>IF(B10="不开标",FALSE,IF($J$12&lt;=5,TRUE,IF($J$12&lt;=10,IF(OR(B10=MAX($B:$B),B10=MIN($B:$B)),FALSE,TRUE),IF($J$12&lt;=20,IF(OR(B10=LARGE($B:$B,1),B10=LARGE($B:$B,2),B10=MIN($B:$B)),FALSE,TRUE),IF($J$12&lt;=30,IF(OR(B10=LARGE($B:$B,1),B10=LARGE($B:$B,2),B10=LARGE($B:$B,3),B10=SMALL($B:$B,1),B10=SMALL($B:$B,2)),FALSE,TRUE),IF(OR(B10=LARGE($B:$B,1),B10=LARGE($B:$B,2),B10=LARGE($B:$B,3),B10=LARGE($B:$B,4),B10=SMALL($B:$B,1),B10=SMALL($B:$B,2),B10=SMALL($B:$B,3)),FALSE,TRUE))))))</f>
        <v>1</v>
      </c>
      <c r="G10" s="2" t="b">
        <f>IF(F10=TRUE,IF(AND(B10&lt;J$14,B10&gt;J$15),FALSE,TRUE),FALSE)</f>
        <v>1</v>
      </c>
    </row>
    <row r="11" spans="1:10">
      <c r="A11" s="1" t="s">
        <v>26</v>
      </c>
      <c r="B11" s="26">
        <v>778.129412</v>
      </c>
      <c r="C11" s="27">
        <f>IF(B11="不开标",0,ROUND(100-100*IF(B11&gt;=J$17,J$4,J$5)*ABS(B11-J$17)/J$17,4))</f>
        <v>99.8986</v>
      </c>
      <c r="D11" s="7">
        <f>IF(B11="不开标","",_xlfn.RANK.EQ(C11,C:C,0))</f>
        <v>1</v>
      </c>
      <c r="F11" s="2" t="b">
        <f>IF(B11="不开标",FALSE,IF($J$12&lt;=5,TRUE,IF($J$12&lt;=10,IF(OR(B11=MAX($B:$B),B11=MIN($B:$B)),FALSE,TRUE),IF($J$12&lt;=20,IF(OR(B11=LARGE($B:$B,1),B11=LARGE($B:$B,2),B11=MIN($B:$B)),FALSE,TRUE),IF($J$12&lt;=30,IF(OR(B11=LARGE($B:$B,1),B11=LARGE($B:$B,2),B11=LARGE($B:$B,3),B11=SMALL($B:$B,1),B11=SMALL($B:$B,2)),FALSE,TRUE),IF(OR(B11=LARGE($B:$B,1),B11=LARGE($B:$B,2),B11=LARGE($B:$B,3),B11=LARGE($B:$B,4),B11=SMALL($B:$B,1),B11=SMALL($B:$B,2),B11=SMALL($B:$B,3)),FALSE,TRUE))))))</f>
        <v>1</v>
      </c>
      <c r="G11" s="2" t="b">
        <f>IF(F11=TRUE,IF(AND(B11&lt;J$14,B11&gt;J$15),FALSE,TRUE),FALSE)</f>
        <v>1</v>
      </c>
      <c r="I11" s="4" t="s">
        <v>27</v>
      </c>
    </row>
    <row r="12" spans="1:10">
      <c r="A12" s="1" t="s">
        <v>28</v>
      </c>
      <c r="B12" s="26">
        <v>778.700007</v>
      </c>
      <c r="C12" s="27">
        <f>IF(B12="不开标",0,ROUND(100-100*IF(B12&gt;=J$17,J$4,J$5)*ABS(B12-J$17)/J$17,4))</f>
        <v>99.8252</v>
      </c>
      <c r="D12" s="7">
        <f>IF(B12="不开标","",_xlfn.RANK.EQ(C12,C:C,0))</f>
        <v>6</v>
      </c>
      <c r="F12" s="2" t="b">
        <f>IF(B12="不开标",FALSE,IF($J$12&lt;=5,TRUE,IF($J$12&lt;=10,IF(OR(B12=MAX($B:$B),B12=MIN($B:$B)),FALSE,TRUE),IF($J$12&lt;=20,IF(OR(B12=LARGE($B:$B,1),B12=LARGE($B:$B,2),B12=MIN($B:$B)),FALSE,TRUE),IF($J$12&lt;=30,IF(OR(B12=LARGE($B:$B,1),B12=LARGE($B:$B,2),B12=LARGE($B:$B,3),B12=SMALL($B:$B,1),B12=SMALL($B:$B,2)),FALSE,TRUE),IF(OR(B12=LARGE($B:$B,1),B12=LARGE($B:$B,2),B12=LARGE($B:$B,3),B12=LARGE($B:$B,4),B12=SMALL($B:$B,1),B12=SMALL($B:$B,2),B12=SMALL($B:$B,3)),FALSE,TRUE))))))</f>
        <v>1</v>
      </c>
      <c r="G12" s="2" t="b">
        <f>IF(F12=TRUE,IF(AND(B12&lt;J$14,B12&gt;J$15),FALSE,TRUE),FALSE)</f>
        <v>1</v>
      </c>
      <c r="I12" s="9" t="s">
        <v>29</v>
      </c>
      <c r="J12" s="37">
        <f>COUNTA(B:B)-1</f>
        <v>25</v>
      </c>
    </row>
    <row r="13" spans="1:10">
      <c r="A13" s="1" t="s">
        <v>30</v>
      </c>
      <c r="B13" s="26">
        <v>779.09659</v>
      </c>
      <c r="C13" s="27">
        <f>IF(B13="不开标",0,ROUND(100-100*IF(B13&gt;=J$17,J$4,J$5)*ABS(B13-J$17)/J$17,4))</f>
        <v>99.7742</v>
      </c>
      <c r="D13" s="7">
        <f>IF(B13="不开标","",_xlfn.RANK.EQ(C13,C:C,0))</f>
        <v>7</v>
      </c>
      <c r="F13" s="2" t="b">
        <f>IF(B13="不开标",FALSE,IF($J$12&lt;=5,TRUE,IF($J$12&lt;=10,IF(OR(B13=MAX($B:$B),B13=MIN($B:$B)),FALSE,TRUE),IF($J$12&lt;=20,IF(OR(B13=LARGE($B:$B,1),B13=LARGE($B:$B,2),B13=MIN($B:$B)),FALSE,TRUE),IF($J$12&lt;=30,IF(OR(B13=LARGE($B:$B,1),B13=LARGE($B:$B,2),B13=LARGE($B:$B,3),B13=SMALL($B:$B,1),B13=SMALL($B:$B,2)),FALSE,TRUE),IF(OR(B13=LARGE($B:$B,1),B13=LARGE($B:$B,2),B13=LARGE($B:$B,3),B13=LARGE($B:$B,4),B13=SMALL($B:$B,1),B13=SMALL($B:$B,2),B13=SMALL($B:$B,3)),FALSE,TRUE))))))</f>
        <v>1</v>
      </c>
      <c r="G13" s="2" t="b">
        <f>IF(F13=TRUE,IF(AND(B13&lt;J$14,B13&gt;J$15),FALSE,TRUE),FALSE)</f>
        <v>1</v>
      </c>
      <c r="I13" s="9" t="s">
        <v>31</v>
      </c>
      <c r="J13" s="40">
        <f>AVERAGEIF(F:F,TRUE,B:B)</f>
        <v>777.341105</v>
      </c>
    </row>
    <row r="14" spans="1:10">
      <c r="A14" s="1" t="s">
        <v>32</v>
      </c>
      <c r="B14" s="26">
        <v>779.2932</v>
      </c>
      <c r="C14" s="27">
        <f>IF(B14="不开标",0,ROUND(100-100*IF(B14&gt;=J$17,J$4,J$5)*ABS(B14-J$17)/J$17,4))</f>
        <v>99.7489</v>
      </c>
      <c r="D14" s="7">
        <f>IF(B14="不开标","",_xlfn.RANK.EQ(C14,C:C,0))</f>
        <v>8</v>
      </c>
      <c r="F14" s="2" t="b">
        <f>IF(B14="不开标",FALSE,IF($J$12&lt;=5,TRUE,IF($J$12&lt;=10,IF(OR(B14=MAX($B:$B),B14=MIN($B:$B)),FALSE,TRUE),IF($J$12&lt;=20,IF(OR(B14=LARGE($B:$B,1),B14=LARGE($B:$B,2),B14=MIN($B:$B)),FALSE,TRUE),IF($J$12&lt;=30,IF(OR(B14=LARGE($B:$B,1),B14=LARGE($B:$B,2),B14=LARGE($B:$B,3),B14=SMALL($B:$B,1),B14=SMALL($B:$B,2)),FALSE,TRUE),IF(OR(B14=LARGE($B:$B,1),B14=LARGE($B:$B,2),B14=LARGE($B:$B,3),B14=LARGE($B:$B,4),B14=SMALL($B:$B,1),B14=SMALL($B:$B,2),B14=SMALL($B:$B,3)),FALSE,TRUE))))))</f>
        <v>1</v>
      </c>
      <c r="G14" s="2" t="b">
        <f>IF(F14=TRUE,IF(AND(B14&lt;J$14,B14&gt;J$15),FALSE,TRUE),FALSE)</f>
        <v>1</v>
      </c>
      <c r="I14" s="9" t="s">
        <v>33</v>
      </c>
      <c r="J14" s="40">
        <f>J$13*(1+J2)</f>
        <v>660.73993925</v>
      </c>
    </row>
    <row r="15" spans="1:10">
      <c r="A15" s="1" t="s">
        <v>34</v>
      </c>
      <c r="B15" s="26">
        <v>779.361701</v>
      </c>
      <c r="C15" s="27">
        <f>IF(B15="不开标",0,ROUND(100-100*IF(B15&gt;=J$17,J$4,J$5)*ABS(B15-J$17)/J$17,4))</f>
        <v>99.7401</v>
      </c>
      <c r="D15" s="7">
        <f>IF(B15="不开标","",_xlfn.RANK.EQ(C15,C:C,0))</f>
        <v>9</v>
      </c>
      <c r="F15" s="2" t="b">
        <f>IF(B15="不开标",FALSE,IF($J$12&lt;=5,TRUE,IF($J$12&lt;=10,IF(OR(B15=MAX($B:$B),B15=MIN($B:$B)),FALSE,TRUE),IF($J$12&lt;=20,IF(OR(B15=LARGE($B:$B,1),B15=LARGE($B:$B,2),B15=MIN($B:$B)),FALSE,TRUE),IF($J$12&lt;=30,IF(OR(B15=LARGE($B:$B,1),B15=LARGE($B:$B,2),B15=LARGE($B:$B,3),B15=SMALL($B:$B,1),B15=SMALL($B:$B,2)),FALSE,TRUE),IF(OR(B15=LARGE($B:$B,1),B15=LARGE($B:$B,2),B15=LARGE($B:$B,3),B15=LARGE($B:$B,4),B15=SMALL($B:$B,1),B15=SMALL($B:$B,2),B15=SMALL($B:$B,3)),FALSE,TRUE))))))</f>
        <v>1</v>
      </c>
      <c r="G15" s="2" t="b">
        <f>IF(F15=TRUE,IF(AND(B15&lt;J$14,B15&gt;J$15),FALSE,TRUE),FALSE)</f>
        <v>1</v>
      </c>
      <c r="I15" s="9" t="s">
        <v>35</v>
      </c>
      <c r="J15" s="40">
        <f>J$13*(1+J3)</f>
        <v>855.0752155</v>
      </c>
    </row>
    <row r="16" spans="1:10">
      <c r="A16" s="1" t="s">
        <v>36</v>
      </c>
      <c r="B16" s="26">
        <v>779.380005</v>
      </c>
      <c r="C16" s="27">
        <f>IF(B16="不开标",0,ROUND(100-100*IF(B16&gt;=J$17,J$4,J$5)*ABS(B16-J$17)/J$17,4))</f>
        <v>99.7377</v>
      </c>
      <c r="D16" s="7">
        <f>IF(B16="不开标","",_xlfn.RANK.EQ(C16,C:C,0))</f>
        <v>10</v>
      </c>
      <c r="F16" s="2" t="b">
        <f>IF(B16="不开标",FALSE,IF($J$12&lt;=5,TRUE,IF($J$12&lt;=10,IF(OR(B16=MAX($B:$B),B16=MIN($B:$B)),FALSE,TRUE),IF($J$12&lt;=20,IF(OR(B16=LARGE($B:$B,1),B16=LARGE($B:$B,2),B16=MIN($B:$B)),FALSE,TRUE),IF($J$12&lt;=30,IF(OR(B16=LARGE($B:$B,1),B16=LARGE($B:$B,2),B16=LARGE($B:$B,3),B16=SMALL($B:$B,1),B16=SMALL($B:$B,2)),FALSE,TRUE),IF(OR(B16=LARGE($B:$B,1),B16=LARGE($B:$B,2),B16=LARGE($B:$B,3),B16=LARGE($B:$B,4),B16=SMALL($B:$B,1),B16=SMALL($B:$B,2),B16=SMALL($B:$B,3)),FALSE,TRUE))))))</f>
        <v>1</v>
      </c>
      <c r="G16" s="2" t="b">
        <f>IF(F16=TRUE,IF(AND(B16&lt;J$14,B16&gt;J$15),FALSE,TRUE),FALSE)</f>
        <v>1</v>
      </c>
      <c r="I16" s="9" t="s">
        <v>37</v>
      </c>
      <c r="J16" s="40">
        <f>AVERAGEIF(G:G,TRUE,B:B)</f>
        <v>777.341105</v>
      </c>
    </row>
    <row r="17" spans="1:10">
      <c r="A17" s="1" t="s">
        <v>38</v>
      </c>
      <c r="B17" s="26">
        <v>779.4175</v>
      </c>
      <c r="C17" s="27">
        <f>IF(B17="不开标",0,ROUND(100-100*IF(B17&gt;=J$17,J$4,J$5)*ABS(B17-J$17)/J$17,4))</f>
        <v>99.7329</v>
      </c>
      <c r="D17" s="7">
        <f>IF(B17="不开标","",_xlfn.RANK.EQ(C17,C:C,0))</f>
        <v>11</v>
      </c>
      <c r="F17" s="2" t="b">
        <f>IF(B17="不开标",FALSE,IF($J$12&lt;=5,TRUE,IF($J$12&lt;=10,IF(OR(B17=MAX($B:$B),B17=MIN($B:$B)),FALSE,TRUE),IF($J$12&lt;=20,IF(OR(B17=LARGE($B:$B,1),B17=LARGE($B:$B,2),B17=MIN($B:$B)),FALSE,TRUE),IF($J$12&lt;=30,IF(OR(B17=LARGE($B:$B,1),B17=LARGE($B:$B,2),B17=LARGE($B:$B,3),B17=SMALL($B:$B,1),B17=SMALL($B:$B,2)),FALSE,TRUE),IF(OR(B17=LARGE($B:$B,1),B17=LARGE($B:$B,2),B17=LARGE($B:$B,3),B17=LARGE($B:$B,4),B17=SMALL($B:$B,1),B17=SMALL($B:$B,2),B17=SMALL($B:$B,3)),FALSE,TRUE))))))</f>
        <v>1</v>
      </c>
      <c r="G17" s="2" t="b">
        <f>IF(F17=TRUE,IF(AND(B17&lt;J$14,B17&gt;J$15),FALSE,TRUE),FALSE)</f>
        <v>1</v>
      </c>
      <c r="I17" s="9" t="s">
        <v>39</v>
      </c>
      <c r="J17" s="41">
        <f>J16*(1+J6)</f>
        <v>777.341105</v>
      </c>
    </row>
    <row r="18" spans="1:10">
      <c r="A18" s="1" t="s">
        <v>40</v>
      </c>
      <c r="B18" s="26">
        <v>779.473135</v>
      </c>
      <c r="C18" s="27">
        <f>IF(B18="不开标",0,ROUND(100-100*IF(B18&gt;=J$17,J$4,J$5)*ABS(B18-J$17)/J$17,4))</f>
        <v>99.7257</v>
      </c>
      <c r="D18" s="7">
        <f>IF(B18="不开标","",_xlfn.RANK.EQ(C18,C:C,0))</f>
        <v>12</v>
      </c>
      <c r="F18" s="2" t="b">
        <f>IF(B18="不开标",FALSE,IF($J$12&lt;=5,TRUE,IF($J$12&lt;=10,IF(OR(B18=MAX($B:$B),B18=MIN($B:$B)),FALSE,TRUE),IF($J$12&lt;=20,IF(OR(B18=LARGE($B:$B,1),B18=LARGE($B:$B,2),B18=MIN($B:$B)),FALSE,TRUE),IF($J$12&lt;=30,IF(OR(B18=LARGE($B:$B,1),B18=LARGE($B:$B,2),B18=LARGE($B:$B,3),B18=SMALL($B:$B,1),B18=SMALL($B:$B,2)),FALSE,TRUE),IF(OR(B18=LARGE($B:$B,1),B18=LARGE($B:$B,2),B18=LARGE($B:$B,3),B18=LARGE($B:$B,4),B18=SMALL($B:$B,1),B18=SMALL($B:$B,2),B18=SMALL($B:$B,3)),FALSE,TRUE))))))</f>
        <v>1</v>
      </c>
      <c r="G18" s="2" t="b">
        <f>IF(F18=TRUE,IF(AND(B18&lt;J$14,B18&gt;J$15),FALSE,TRUE),FALSE)</f>
        <v>1</v>
      </c>
      <c r="I18" s="15" t="s">
        <v>41</v>
      </c>
      <c r="J18" s="42">
        <f>J17/J7</f>
        <v>0.99003495877802</v>
      </c>
    </row>
    <row r="19" spans="1:10">
      <c r="A19" s="1" t="s">
        <v>42</v>
      </c>
      <c r="B19" s="26">
        <v>779.495679</v>
      </c>
      <c r="C19" s="27">
        <f>IF(B19="不开标",0,ROUND(100-100*IF(B19&gt;=J$17,J$4,J$5)*ABS(B19-J$17)/J$17,4))</f>
        <v>99.7228</v>
      </c>
      <c r="D19" s="7">
        <f>IF(B19="不开标","",_xlfn.RANK.EQ(C19,C:C,0))</f>
        <v>13</v>
      </c>
      <c r="F19" s="2" t="b">
        <f>IF(B19="不开标",FALSE,IF($J$12&lt;=5,TRUE,IF($J$12&lt;=10,IF(OR(B19=MAX($B:$B),B19=MIN($B:$B)),FALSE,TRUE),IF($J$12&lt;=20,IF(OR(B19=LARGE($B:$B,1),B19=LARGE($B:$B,2),B19=MIN($B:$B)),FALSE,TRUE),IF($J$12&lt;=30,IF(OR(B19=LARGE($B:$B,1),B19=LARGE($B:$B,2),B19=LARGE($B:$B,3),B19=SMALL($B:$B,1),B19=SMALL($B:$B,2)),FALSE,TRUE),IF(OR(B19=LARGE($B:$B,1),B19=LARGE($B:$B,2),B19=LARGE($B:$B,3),B19=LARGE($B:$B,4),B19=SMALL($B:$B,1),B19=SMALL($B:$B,2),B19=SMALL($B:$B,3)),FALSE,TRUE))))))</f>
        <v>1</v>
      </c>
      <c r="G19" s="2" t="b">
        <f>IF(F19=TRUE,IF(AND(B19&lt;J$14,B19&gt;J$15),FALSE,TRUE),FALSE)</f>
        <v>1</v>
      </c>
    </row>
    <row r="20" spans="1:10">
      <c r="A20" s="1" t="s">
        <v>43</v>
      </c>
      <c r="B20" s="26">
        <v>779.847797</v>
      </c>
      <c r="C20" s="27">
        <f>IF(B20="不开标",0,ROUND(100-100*IF(B20&gt;=J$17,J$4,J$5)*ABS(B20-J$17)/J$17,4))</f>
        <v>99.6775</v>
      </c>
      <c r="D20" s="7">
        <f>IF(B20="不开标","",_xlfn.RANK.EQ(C20,C:C,0))</f>
        <v>16</v>
      </c>
      <c r="F20" s="2" t="b">
        <f>IF(B20="不开标",FALSE,IF($J$12&lt;=5,TRUE,IF($J$12&lt;=10,IF(OR(B20=MAX($B:$B),B20=MIN($B:$B)),FALSE,TRUE),IF($J$12&lt;=20,IF(OR(B20=LARGE($B:$B,1),B20=LARGE($B:$B,2),B20=MIN($B:$B)),FALSE,TRUE),IF($J$12&lt;=30,IF(OR(B20=LARGE($B:$B,1),B20=LARGE($B:$B,2),B20=LARGE($B:$B,3),B20=SMALL($B:$B,1),B20=SMALL($B:$B,2)),FALSE,TRUE),IF(OR(B20=LARGE($B:$B,1),B20=LARGE($B:$B,2),B20=LARGE($B:$B,3),B20=LARGE($B:$B,4),B20=SMALL($B:$B,1),B20=SMALL($B:$B,2),B20=SMALL($B:$B,3)),FALSE,TRUE))))))</f>
        <v>1</v>
      </c>
      <c r="G20" s="2" t="b">
        <f>IF(F20=TRUE,IF(AND(B20&lt;J$14,B20&gt;J$15),FALSE,TRUE),FALSE)</f>
        <v>1</v>
      </c>
      <c r="I20" s="4" t="s">
        <v>44</v>
      </c>
    </row>
    <row r="21" spans="1:10">
      <c r="A21" s="1" t="s">
        <v>45</v>
      </c>
      <c r="B21" s="26">
        <v>780.3102</v>
      </c>
      <c r="C21" s="27">
        <f>IF(B21="不开标",0,ROUND(100-100*IF(B21&gt;=J$17,J$4,J$5)*ABS(B21-J$17)/J$17,4))</f>
        <v>99.618</v>
      </c>
      <c r="D21" s="7">
        <f>IF(B21="不开标","",_xlfn.RANK.EQ(C21,C:C,0))</f>
        <v>17</v>
      </c>
      <c r="F21" s="2" t="b">
        <f>IF(B21="不开标",FALSE,IF($J$12&lt;=5,TRUE,IF($J$12&lt;=10,IF(OR(B21=MAX($B:$B),B21=MIN($B:$B)),FALSE,TRUE),IF($J$12&lt;=20,IF(OR(B21=LARGE($B:$B,1),B21=LARGE($B:$B,2),B21=MIN($B:$B)),FALSE,TRUE),IF($J$12&lt;=30,IF(OR(B21=LARGE($B:$B,1),B21=LARGE($B:$B,2),B21=LARGE($B:$B,3),B21=SMALL($B:$B,1),B21=SMALL($B:$B,2)),FALSE,TRUE),IF(OR(B21=LARGE($B:$B,1),B21=LARGE($B:$B,2),B21=LARGE($B:$B,3),B21=LARGE($B:$B,4),B21=SMALL($B:$B,1),B21=SMALL($B:$B,2),B21=SMALL($B:$B,3)),FALSE,TRUE))))))</f>
        <v>1</v>
      </c>
      <c r="G21" s="2" t="b">
        <f>IF(F21=TRUE,IF(AND(B21&lt;J$14,B21&gt;J$15),FALSE,TRUE),FALSE)</f>
        <v>1</v>
      </c>
      <c r="I21" s="17" t="s">
        <v>46</v>
      </c>
      <c r="J21" s="18" t="str">
        <f>IFERROR(VLOOKUP(I21,A:C,3,0),"")</f>
        <v/>
      </c>
    </row>
    <row r="22" spans="1:10">
      <c r="A22" s="1" t="s">
        <v>47</v>
      </c>
      <c r="B22" s="26">
        <v>781.069108</v>
      </c>
      <c r="C22" s="27">
        <f>IF(B22="不开标",0,ROUND(100-100*IF(B22&gt;=J$17,J$4,J$5)*ABS(B22-J$17)/J$17,4))</f>
        <v>99.5204</v>
      </c>
      <c r="D22" s="7">
        <f>IF(B22="不开标","",_xlfn.RANK.EQ(C22,C:C,0))</f>
        <v>20</v>
      </c>
      <c r="F22" s="2" t="b">
        <f>IF(B22="不开标",FALSE,IF($J$12&lt;=5,TRUE,IF($J$12&lt;=10,IF(OR(B22=MAX($B:$B),B22=MIN($B:$B)),FALSE,TRUE),IF($J$12&lt;=20,IF(OR(B22=LARGE($B:$B,1),B22=LARGE($B:$B,2),B22=MIN($B:$B)),FALSE,TRUE),IF($J$12&lt;=30,IF(OR(B22=LARGE($B:$B,1),B22=LARGE($B:$B,2),B22=LARGE($B:$B,3),B22=SMALL($B:$B,1),B22=SMALL($B:$B,2)),FALSE,TRUE),IF(OR(B22=LARGE($B:$B,1),B22=LARGE($B:$B,2),B22=LARGE($B:$B,3),B22=LARGE($B:$B,4),B22=SMALL($B:$B,1),B22=SMALL($B:$B,2),B22=SMALL($B:$B,3)),FALSE,TRUE))))))</f>
        <v>1</v>
      </c>
      <c r="G22" s="2" t="b">
        <f>IF(F22=TRUE,IF(AND(B22&lt;J$14,B22&gt;J$15),FALSE,TRUE),FALSE)</f>
        <v>1</v>
      </c>
      <c r="I22" s="9" t="s">
        <v>48</v>
      </c>
      <c r="J22" s="9" t="str">
        <f>IFERROR(VLOOKUP(I$21,A:C,3,0),"")</f>
        <v/>
      </c>
    </row>
    <row r="23" spans="1:10">
      <c r="A23" s="1" t="s">
        <v>49</v>
      </c>
      <c r="B23" s="26">
        <v>782.382846</v>
      </c>
      <c r="C23" s="27">
        <f>IF(B23="不开标",0,ROUND(100-100*IF(B23&gt;=J$17,J$4,J$5)*ABS(B23-J$17)/J$17,4))</f>
        <v>99.3514</v>
      </c>
      <c r="D23" s="7">
        <f>IF(B23="不开标","",_xlfn.RANK.EQ(C23,C:C,0))</f>
        <v>21</v>
      </c>
      <c r="F23" s="2" t="b">
        <f>IF(B23="不开标",FALSE,IF($J$12&lt;=5,TRUE,IF($J$12&lt;=10,IF(OR(B23=MAX($B:$B),B23=MIN($B:$B)),FALSE,TRUE),IF($J$12&lt;=20,IF(OR(B23=LARGE($B:$B,1),B23=LARGE($B:$B,2),B23=MIN($B:$B)),FALSE,TRUE),IF($J$12&lt;=30,IF(OR(B23=LARGE($B:$B,1),B23=LARGE($B:$B,2),B23=LARGE($B:$B,3),B23=SMALL($B:$B,1),B23=SMALL($B:$B,2)),FALSE,TRUE),IF(OR(B23=LARGE($B:$B,1),B23=LARGE($B:$B,2),B23=LARGE($B:$B,3),B23=LARGE($B:$B,4),B23=SMALL($B:$B,1),B23=SMALL($B:$B,2),B23=SMALL($B:$B,3)),FALSE,TRUE))))))</f>
        <v>0</v>
      </c>
      <c r="G23" s="2" t="b">
        <f>IF(F23=TRUE,IF(AND(B23&lt;J$14,B23&gt;J$15),FALSE,TRUE),FALSE)</f>
        <v>0</v>
      </c>
      <c r="I23" s="15" t="s">
        <v>50</v>
      </c>
      <c r="J23" s="15" t="str">
        <f>IFERROR(VLOOKUP(I$21,A:D,4,0),"")</f>
        <v/>
      </c>
    </row>
    <row r="24" spans="1:10">
      <c r="A24" s="1" t="s">
        <v>51</v>
      </c>
      <c r="B24" s="26">
        <v>783.994</v>
      </c>
      <c r="C24" s="27">
        <f>IF(B24="不开标",0,ROUND(100-100*IF(B24&gt;=J$17,J$4,J$5)*ABS(B24-J$17)/J$17,4))</f>
        <v>99.1441</v>
      </c>
      <c r="D24" s="7">
        <f>IF(B24="不开标","",_xlfn.RANK.EQ(C24,C:C,0))</f>
        <v>23</v>
      </c>
      <c r="F24" s="2" t="b">
        <f>IF(B24="不开标",FALSE,IF($J$12&lt;=5,TRUE,IF($J$12&lt;=10,IF(OR(B24=MAX($B:$B),B24=MIN($B:$B)),FALSE,TRUE),IF($J$12&lt;=20,IF(OR(B24=LARGE($B:$B,1),B24=LARGE($B:$B,2),B24=MIN($B:$B)),FALSE,TRUE),IF($J$12&lt;=30,IF(OR(B24=LARGE($B:$B,1),B24=LARGE($B:$B,2),B24=LARGE($B:$B,3),B24=SMALL($B:$B,1),B24=SMALL($B:$B,2)),FALSE,TRUE),IF(OR(B24=LARGE($B:$B,1),B24=LARGE($B:$B,2),B24=LARGE($B:$B,3),B24=LARGE($B:$B,4),B24=SMALL($B:$B,1),B24=SMALL($B:$B,2),B24=SMALL($B:$B,3)),FALSE,TRUE))))))</f>
        <v>0</v>
      </c>
      <c r="G24" s="2" t="b">
        <f>IF(F24=TRUE,IF(AND(B24&lt;J$14,B24&gt;J$15),FALSE,TRUE),FALSE)</f>
        <v>0</v>
      </c>
      <c r="I24" s="9" t="s">
        <v>52</v>
      </c>
      <c r="J24" s="20">
        <f t="array" ref="J24">MAX(C:C)</f>
        <v>99.8986</v>
      </c>
    </row>
    <row r="25" spans="1:10">
      <c r="A25" s="1" t="s">
        <v>53</v>
      </c>
      <c r="B25" s="26">
        <v>784.823872</v>
      </c>
      <c r="C25" s="27">
        <f>IF(B25="不开标",0,ROUND(100-100*IF(B25&gt;=J$17,J$4,J$5)*ABS(B25-J$17)/J$17,4))</f>
        <v>99.0374</v>
      </c>
      <c r="D25" s="7">
        <f>IF(B25="不开标","",_xlfn.RANK.EQ(C25,C:C,0))</f>
        <v>24</v>
      </c>
      <c r="F25" s="2" t="b">
        <f>IF(B25="不开标",FALSE,IF($J$12&lt;=5,TRUE,IF($J$12&lt;=10,IF(OR(B25=MAX($B:$B),B25=MIN($B:$B)),FALSE,TRUE),IF($J$12&lt;=20,IF(OR(B25=LARGE($B:$B,1),B25=LARGE($B:$B,2),B25=MIN($B:$B)),FALSE,TRUE),IF($J$12&lt;=30,IF(OR(B25=LARGE($B:$B,1),B25=LARGE($B:$B,2),B25=LARGE($B:$B,3),B25=SMALL($B:$B,1),B25=SMALL($B:$B,2)),FALSE,TRUE),IF(OR(B25=LARGE($B:$B,1),B25=LARGE($B:$B,2),B25=LARGE($B:$B,3),B25=LARGE($B:$B,4),B25=SMALL($B:$B,1),B25=SMALL($B:$B,2),B25=SMALL($B:$B,3)),FALSE,TRUE))))))</f>
        <v>0</v>
      </c>
      <c r="G25" s="2" t="b">
        <f>IF(F25=TRUE,IF(AND(B25&lt;J$14,B25&gt;J$15),FALSE,TRUE),FALSE)</f>
        <v>0</v>
      </c>
      <c r="I25" s="9" t="s">
        <v>54</v>
      </c>
      <c r="J25" s="9" t="str">
        <f>IFERROR(J24-J22,"")</f>
        <v/>
      </c>
    </row>
    <row r="26" spans="1:10">
      <c r="A26" s="1" t="s">
        <v>55</v>
      </c>
      <c r="B26" s="26" t="s">
        <v>56</v>
      </c>
      <c r="C26" s="27">
        <f>IF(B26="不开标",0,ROUND(100-100*IF(B26&gt;=J$17,J$4,J$5)*ABS(B26-J$17)/J$17,4))</f>
        <v>0</v>
      </c>
      <c r="D26" s="7" t="str">
        <f>IF(B26="不开标","",_xlfn.RANK.EQ(C26,C:C,0))</f>
        <v/>
      </c>
      <c r="F26" s="2" t="b">
        <f>IF(B26="不开标",FALSE,IF($J$12&lt;=5,TRUE,IF($J$12&lt;=10,IF(OR(B26=MAX($B:$B),B26=MIN($B:$B)),FALSE,TRUE),IF($J$12&lt;=20,IF(OR(B26=LARGE($B:$B,1),B26=LARGE($B:$B,2),B26=MIN($B:$B)),FALSE,TRUE),IF($J$12&lt;=30,IF(OR(B26=LARGE($B:$B,1),B26=LARGE($B:$B,2),B26=LARGE($B:$B,3),B26=SMALL($B:$B,1),B26=SMALL($B:$B,2)),FALSE,TRUE),IF(OR(B26=LARGE($B:$B,1),B26=LARGE($B:$B,2),B26=LARGE($B:$B,3),B26=LARGE($B:$B,4),B26=SMALL($B:$B,1),B26=SMALL($B:$B,2),B26=SMALL($B:$B,3)),FALSE,TRUE))))))</f>
        <v>0</v>
      </c>
      <c r="G26" s="2" t="b">
        <f>IF(F26=TRUE,IF(AND(B26&lt;J$14,B26&gt;J$15),FALSE,TRUE),FALSE)</f>
        <v>0</v>
      </c>
      <c r="I26" s="15" t="s">
        <v>57</v>
      </c>
      <c r="J26" s="15" t="str">
        <f>IFERROR(J25*J8,"")</f>
        <v/>
      </c>
    </row>
    <row r="27" spans="1:10">
      <c r="C27" s="27"/>
    </row>
    <row r="28" spans="1:10">
      <c r="C28" s="27"/>
    </row>
    <row r="29" spans="1:10">
      <c r="C29" s="27"/>
    </row>
    <row r="30" spans="1:10">
      <c r="C30" s="27"/>
    </row>
    <row r="31" spans="1:10">
      <c r="C31" s="27"/>
    </row>
    <row r="32" spans="1:10">
      <c r="C32" s="27"/>
    </row>
    <row r="33" spans="3:3">
      <c r="C33" s="27"/>
    </row>
    <row r="34" spans="3:3">
      <c r="C34" s="27"/>
    </row>
    <row r="35" spans="3:3">
      <c r="C35" s="27"/>
    </row>
    <row r="36" spans="3:3">
      <c r="C36" s="27"/>
    </row>
    <row r="37" spans="3:3">
      <c r="C37" s="27"/>
    </row>
    <row r="38" spans="3:3">
      <c r="C38" s="27"/>
    </row>
    <row r="39" spans="3:3">
      <c r="C39" s="27"/>
    </row>
    <row r="40" spans="3:3">
      <c r="C40" s="27"/>
    </row>
    <row r="41" spans="3:3">
      <c r="C41" s="27"/>
    </row>
    <row r="42" spans="3:3">
      <c r="C42" s="27"/>
    </row>
    <row r="43" spans="3:3">
      <c r="C43" s="27"/>
    </row>
    <row r="44" spans="3:3">
      <c r="C44" s="27"/>
    </row>
    <row r="45" spans="3:3">
      <c r="C45" s="27"/>
    </row>
    <row r="46" spans="3:3">
      <c r="C46" s="27"/>
    </row>
    <row r="47" spans="3:3">
      <c r="C47" s="27"/>
    </row>
    <row r="48" spans="3:3">
      <c r="C48" s="27"/>
    </row>
    <row r="49" spans="3:3">
      <c r="C49" s="27"/>
    </row>
    <row r="50" spans="3:3">
      <c r="C50" s="27"/>
    </row>
    <row r="51" spans="3:3">
      <c r="C51" s="27"/>
    </row>
    <row r="52" spans="3:3">
      <c r="C52" s="27"/>
    </row>
    <row r="53" spans="3:3">
      <c r="C53" s="27"/>
    </row>
    <row r="54" spans="3:3">
      <c r="C54" s="27"/>
    </row>
    <row r="55" spans="3:3">
      <c r="C55" s="27"/>
    </row>
    <row r="56" spans="3:3">
      <c r="C56" s="27"/>
    </row>
    <row r="57" spans="3:3">
      <c r="C57" s="27"/>
    </row>
    <row r="58" spans="3:3">
      <c r="C58" s="27"/>
    </row>
    <row r="59" spans="3:3">
      <c r="C59" s="27"/>
    </row>
    <row r="60" spans="3:3">
      <c r="C60" s="27"/>
    </row>
    <row r="61" spans="3:3">
      <c r="C61" s="27"/>
    </row>
    <row r="62" spans="3:3">
      <c r="C62" s="27"/>
    </row>
    <row r="63" spans="3:3">
      <c r="C63" s="27"/>
    </row>
    <row r="64" spans="3:3">
      <c r="C64" s="27"/>
    </row>
    <row r="65" spans="3:3">
      <c r="C65" s="27"/>
    </row>
    <row r="66" spans="3:3">
      <c r="C66" s="27"/>
    </row>
    <row r="67" spans="3:3">
      <c r="C67" s="27"/>
    </row>
    <row r="68" spans="3:3">
      <c r="C68" s="27"/>
    </row>
  </sheetData>
  <autoFilter xmlns:etc="http://www.wps.cn/officeDocument/2017/etCustomData" ref="A1:G70" etc:filterBottomFollowUsedRange="0">
    <sortState ref="A2:G70">
      <sortCondition ref="D1"/>
    </sortState>
    <extLst/>
  </autoFilter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workbookViewId="0">
      <pane ySplit="25" topLeftCell="A26" activePane="bottomLeft" state="frozen"/>
      <selection/>
      <selection pane="bottomLeft" activeCell="J16" sqref="J16"/>
    </sheetView>
  </sheetViews>
  <sheetFormatPr defaultColWidth="9.84545454545455" defaultRowHeight="14"/>
  <cols>
    <col min="1" max="1" width="20.3818181818182" style="1" customWidth="1"/>
    <col min="2" max="2" width="11.6909090909091" style="52"/>
    <col min="3" max="3" width="12.9181818181818" style="53"/>
    <col min="4" max="4" width="10" style="7"/>
    <col min="5" max="5" width="3.07272727272727" style="7" customWidth="1"/>
    <col min="6" max="6" width="10" style="2"/>
    <col min="7" max="7" width="9.84545454545455" style="2"/>
    <col min="8" max="8" width="7.22727272727273" style="2" customWidth="1"/>
    <col min="9" max="9" width="29.2272727272727" style="2" customWidth="1"/>
    <col min="10" max="10" width="15.4636363636364" style="2" customWidth="1"/>
    <col min="11" max="16384" width="9.84545454545455" style="2"/>
  </cols>
  <sheetData>
    <row r="1" ht="14.5" spans="1:10">
      <c r="A1" s="54" t="s">
        <v>3</v>
      </c>
      <c r="B1" s="55" t="s">
        <v>4</v>
      </c>
      <c r="C1" s="56" t="s">
        <v>5</v>
      </c>
      <c r="D1" s="54" t="s">
        <v>6</v>
      </c>
      <c r="E1" s="54"/>
      <c r="F1" s="54" t="s">
        <v>7</v>
      </c>
      <c r="G1" s="54" t="s">
        <v>8</v>
      </c>
      <c r="I1" s="4" t="s">
        <v>9</v>
      </c>
    </row>
    <row r="2" spans="1:10">
      <c r="A2" s="1" t="s">
        <v>58</v>
      </c>
      <c r="B2" s="52">
        <v>0.9558</v>
      </c>
      <c r="C2" s="27">
        <f>IF(B2="不开标",0,ROUND(100-100*IF(B2&gt;=J$17,J$4,J$5)*ABS(B2-J$17)/J$17,4))</f>
        <v>99.9792</v>
      </c>
      <c r="D2" s="7">
        <f>IF(B2="不开标","",_xlfn.RANK.EQ(C2,C:C,0))</f>
        <v>1</v>
      </c>
      <c r="F2" s="2" t="b">
        <f>IF(B2="不开标",FALSE,IF($J$12&lt;=5,TRUE,IF($J$12&lt;=10,IF(OR(B2=MAX($B:$B),B2=MIN($B:$B)),FALSE,TRUE),IF($J$12&lt;=20,IF(OR(B2=LARGE($B:$B,1),B2=LARGE($B:$B,2),B2=MIN($B:$B)),FALSE,TRUE),IF($J$12&lt;=30,IF(OR(B2=LARGE($B:$B,1),B2=LARGE($B:$B,2),B2=LARGE($B:$B,3),B2=SMALL($B:$B,1),B2=SMALL($B:$B,2)),FALSE,TRUE),IF(OR(B2=LARGE($B:$B,1),B2=LARGE($B:$B,2),B2=LARGE($B:$B,3),B2=LARGE($B:$B,4),B2=SMALL($B:$B,1),B2=SMALL($B:$B,2),B2=SMALL($B:$B,3)),FALSE,TRUE))))))</f>
        <v>0</v>
      </c>
      <c r="G2" s="2" t="b">
        <f>IF(F2=FALSE,FALSE,IF(AND(B2&lt;J$14,B2&gt;J$15),FALSE,TRUE))</f>
        <v>0</v>
      </c>
      <c r="I2" s="9" t="s">
        <v>59</v>
      </c>
      <c r="J2" s="29">
        <v>-0.15</v>
      </c>
    </row>
    <row r="3" spans="1:10">
      <c r="A3" s="1" t="s">
        <v>60</v>
      </c>
      <c r="B3" s="52">
        <v>0.955</v>
      </c>
      <c r="C3" s="27">
        <f>IF(B3="不开标",0,ROUND(100-100*IF(B3&gt;=J$17,J$4,J$5)*ABS(B3-J$17)/J$17,4))</f>
        <v>99.9374</v>
      </c>
      <c r="D3" s="7">
        <f>IF(B3="不开标","",_xlfn.RANK.EQ(C3,C:C,0))</f>
        <v>2</v>
      </c>
      <c r="F3" s="2" t="b">
        <f>IF(B3="不开标",FALSE,IF($J$12&lt;=5,TRUE,IF($J$12&lt;=10,IF(OR(B3=MAX($B:$B),B3=MIN($B:$B)),FALSE,TRUE),IF($J$12&lt;=20,IF(OR(B3=LARGE($B:$B,1),B3=LARGE($B:$B,2),B3=MIN($B:$B)),FALSE,TRUE),IF($J$12&lt;=30,IF(OR(B3=LARGE($B:$B,1),B3=LARGE($B:$B,2),B3=LARGE($B:$B,3),B3=SMALL($B:$B,1),B3=SMALL($B:$B,2)),FALSE,TRUE),IF(OR(B3=LARGE($B:$B,1),B3=LARGE($B:$B,2),B3=LARGE($B:$B,3),B3=LARGE($B:$B,4),B3=SMALL($B:$B,1),B3=SMALL($B:$B,2),B3=SMALL($B:$B,3)),FALSE,TRUE))))))</f>
        <v>0</v>
      </c>
      <c r="G3" s="2" t="b">
        <f>IF(F3=FALSE,FALSE,IF(AND(B3&lt;J$14,B3&gt;J$15),FALSE,TRUE))</f>
        <v>0</v>
      </c>
      <c r="I3" s="9" t="s">
        <v>61</v>
      </c>
      <c r="J3" s="29">
        <v>0.1</v>
      </c>
    </row>
    <row r="4" spans="1:10">
      <c r="A4" s="1" t="s">
        <v>62</v>
      </c>
      <c r="B4" s="52">
        <v>0.955</v>
      </c>
      <c r="C4" s="27">
        <f>IF(B4="不开标",0,ROUND(100-100*IF(B4&gt;=J$17,J$4,J$5)*ABS(B4-J$17)/J$17,4))</f>
        <v>99.9374</v>
      </c>
      <c r="D4" s="7">
        <f>IF(B4="不开标","",_xlfn.RANK.EQ(C4,C:C,0))</f>
        <v>2</v>
      </c>
      <c r="F4" s="2" t="b">
        <f>IF(B4="不开标",FALSE,IF($J$12&lt;=5,TRUE,IF($J$12&lt;=10,IF(OR(B4=MAX($B:$B),B4=MIN($B:$B)),FALSE,TRUE),IF($J$12&lt;=20,IF(OR(B4=LARGE($B:$B,1),B4=LARGE($B:$B,2),B4=MIN($B:$B)),FALSE,TRUE),IF($J$12&lt;=30,IF(OR(B4=LARGE($B:$B,1),B4=LARGE($B:$B,2),B4=LARGE($B:$B,3),B4=SMALL($B:$B,1),B4=SMALL($B:$B,2)),FALSE,TRUE),IF(OR(B4=LARGE($B:$B,1),B4=LARGE($B:$B,2),B4=LARGE($B:$B,3),B4=LARGE($B:$B,4),B4=SMALL($B:$B,1),B4=SMALL($B:$B,2),B4=SMALL($B:$B,3)),FALSE,TRUE))))))</f>
        <v>0</v>
      </c>
      <c r="G4" s="2" t="b">
        <f>IF(F4=FALSE,FALSE,IF(AND(B4&lt;J$14,B4&gt;J$15),FALSE,TRUE))</f>
        <v>0</v>
      </c>
      <c r="I4" s="9" t="s">
        <v>15</v>
      </c>
      <c r="J4" s="57">
        <v>1</v>
      </c>
    </row>
    <row r="5" spans="1:10">
      <c r="A5" s="1" t="s">
        <v>63</v>
      </c>
      <c r="B5" s="52">
        <v>0.9528</v>
      </c>
      <c r="C5" s="27">
        <f>IF(B5="不开标",0,ROUND(100-100*IF(B5&gt;=J$17,J$4,J$5)*ABS(B5-J$17)/J$17,4))</f>
        <v>99.8223</v>
      </c>
      <c r="D5" s="7">
        <f>IF(B5="不开标","",_xlfn.RANK.EQ(C5,C:C,0))</f>
        <v>0</v>
      </c>
      <c r="F5" s="2" t="b">
        <f>IF(B5="不开标",FALSE,IF($J$12&lt;=5,TRUE,IF($J$12&lt;=10,IF(OR(B5=MAX($B:$B),B5=MIN($B:$B)),FALSE,TRUE),IF($J$12&lt;=20,IF(OR(B5=LARGE($B:$B,1),B5=LARGE($B:$B,2),B5=MIN($B:$B)),FALSE,TRUE),IF($J$12&lt;=30,IF(OR(B5=LARGE($B:$B,1),B5=LARGE($B:$B,2),B5=LARGE($B:$B,3),B5=SMALL($B:$B,1),B5=SMALL($B:$B,2)),FALSE,TRUE),IF(OR(B5=LARGE($B:$B,1),B5=LARGE($B:$B,2),B5=LARGE($B:$B,3),B5=LARGE($B:$B,4),B5=SMALL($B:$B,1),B5=SMALL($B:$B,2),B5=SMALL($B:$B,3)),FALSE,TRUE))))))</f>
        <v>1</v>
      </c>
      <c r="G5" s="2" t="b">
        <f>IF(F5=FALSE,FALSE,IF(AND(B5&lt;J$14,B5&gt;J$15),FALSE,TRUE))</f>
        <v>1</v>
      </c>
      <c r="I5" s="9" t="s">
        <v>17</v>
      </c>
      <c r="J5" s="57">
        <v>0.5</v>
      </c>
    </row>
    <row r="6" spans="1:10">
      <c r="A6" s="1" t="s">
        <v>64</v>
      </c>
      <c r="B6" s="52">
        <v>0.958</v>
      </c>
      <c r="C6" s="27">
        <f>IF(B6="不开标",0,ROUND(100-100*IF(B6&gt;=J$17,J$4,J$5)*ABS(B6-J$17)/J$17,4))</f>
        <v>99.8116</v>
      </c>
      <c r="D6" s="7">
        <f>IF(B6="不开标","",_xlfn.RANK.EQ(C6,C:C,0))</f>
        <v>5</v>
      </c>
      <c r="F6" s="2" t="b">
        <f>IF(B6="不开标",FALSE,IF($J$12&lt;=5,TRUE,IF($J$12&lt;=10,IF(OR(B6=MAX($B:$B),B6=MIN($B:$B)),FALSE,TRUE),IF($J$12&lt;=20,IF(OR(B6=LARGE($B:$B,1),B6=LARGE($B:$B,2),B6=MIN($B:$B)),FALSE,TRUE),IF($J$12&lt;=30,IF(OR(B6=LARGE($B:$B,1),B6=LARGE($B:$B,2),B6=LARGE($B:$B,3),B6=SMALL($B:$B,1),B6=SMALL($B:$B,2)),FALSE,TRUE),IF(OR(B6=LARGE($B:$B,1),B6=LARGE($B:$B,2),B6=LARGE($B:$B,3),B6=LARGE($B:$B,4),B6=SMALL($B:$B,1),B6=SMALL($B:$B,2),B6=SMALL($B:$B,3)),FALSE,TRUE))))))</f>
        <v>0</v>
      </c>
      <c r="G6" s="2" t="b">
        <f>IF(F6=FALSE,FALSE,IF(AND(B6&lt;J$14,B6&gt;J$15),FALSE,TRUE))</f>
        <v>0</v>
      </c>
      <c r="I6" s="9" t="s">
        <v>19</v>
      </c>
      <c r="J6" s="58">
        <v>0.01</v>
      </c>
    </row>
    <row r="7" spans="1:10">
      <c r="A7" s="1" t="s">
        <v>65</v>
      </c>
      <c r="B7" s="52">
        <v>0.95</v>
      </c>
      <c r="C7" s="27">
        <f>IF(B7="不开标",0,ROUND(100-100*IF(B7&gt;=J$17,J$4,J$5)*ABS(B7-J$17)/J$17,4))</f>
        <v>99.6759</v>
      </c>
      <c r="D7" s="7">
        <f>IF(B7="不开标","",_xlfn.RANK.EQ(C7,C:C,0))</f>
        <v>6</v>
      </c>
      <c r="F7" s="2" t="b">
        <f>IF(B7="不开标",FALSE,IF($J$12&lt;=5,TRUE,IF($J$12&lt;=10,IF(OR(B7=MAX($B:$B),B7=MIN($B:$B)),FALSE,TRUE),IF($J$12&lt;=20,IF(OR(B7=LARGE($B:$B,1),B7=LARGE($B:$B,2),B7=MIN($B:$B)),FALSE,TRUE),IF($J$12&lt;=30,IF(OR(B7=LARGE($B:$B,1),B7=LARGE($B:$B,2),B7=LARGE($B:$B,3),B7=SMALL($B:$B,1),B7=SMALL($B:$B,2)),FALSE,TRUE),IF(OR(B7=LARGE($B:$B,1),B7=LARGE($B:$B,2),B7=LARGE($B:$B,3),B7=LARGE($B:$B,4),B7=SMALL($B:$B,1),B7=SMALL($B:$B,2),B7=SMALL($B:$B,3)),FALSE,TRUE))))))</f>
        <v>1</v>
      </c>
      <c r="G7" s="2" t="b">
        <f>IF(F7=FALSE,FALSE,IF(AND(B7&lt;J$14,B7&gt;J$15),FALSE,TRUE))</f>
        <v>1</v>
      </c>
      <c r="I7" s="9" t="s">
        <v>66</v>
      </c>
      <c r="J7" s="10">
        <v>300</v>
      </c>
    </row>
    <row r="8" spans="1:10">
      <c r="A8" s="1" t="s">
        <v>67</v>
      </c>
      <c r="B8" s="52">
        <v>0.95</v>
      </c>
      <c r="C8" s="27">
        <f>IF(B8="不开标",0,ROUND(100-100*IF(B8&gt;=J$17,J$4,J$5)*ABS(B8-J$17)/J$17,4))</f>
        <v>99.6759</v>
      </c>
      <c r="D8" s="7">
        <f>IF(B8="不开标","",_xlfn.RANK.EQ(C8,C:C,0))</f>
        <v>6</v>
      </c>
      <c r="F8" s="2" t="b">
        <f>IF(B8="不开标",FALSE,IF($J$12&lt;=5,TRUE,IF($J$12&lt;=10,IF(OR(B8=MAX($B:$B),B8=MIN($B:$B)),FALSE,TRUE),IF($J$12&lt;=20,IF(OR(B8=LARGE($B:$B,1),B8=LARGE($B:$B,2),B8=MIN($B:$B)),FALSE,TRUE),IF($J$12&lt;=30,IF(OR(B8=LARGE($B:$B,1),B8=LARGE($B:$B,2),B8=LARGE($B:$B,3),B8=SMALL($B:$B,1),B8=SMALL($B:$B,2)),FALSE,TRUE),IF(OR(B8=LARGE($B:$B,1),B8=LARGE($B:$B,2),B8=LARGE($B:$B,3),B8=LARGE($B:$B,4),B8=SMALL($B:$B,1),B8=SMALL($B:$B,2),B8=SMALL($B:$B,3)),FALSE,TRUE))))))</f>
        <v>1</v>
      </c>
      <c r="G8" s="2" t="b">
        <f>IF(F8=FALSE,FALSE,IF(AND(B8&lt;J$14,B8&gt;J$15),FALSE,TRUE))</f>
        <v>1</v>
      </c>
      <c r="I8" s="9" t="s">
        <v>23</v>
      </c>
      <c r="J8" s="11">
        <v>0.3</v>
      </c>
    </row>
    <row r="9" spans="1:10">
      <c r="A9" s="1" t="s">
        <v>68</v>
      </c>
      <c r="B9" s="52">
        <v>0.95</v>
      </c>
      <c r="C9" s="27">
        <f>IF(B9="不开标",0,ROUND(100-100*IF(B9&gt;=J$17,J$4,J$5)*ABS(B9-J$17)/J$17,4))</f>
        <v>99.6759</v>
      </c>
      <c r="D9" s="7">
        <f>IF(B9="不开标","",_xlfn.RANK.EQ(C9,C:C,0))</f>
        <v>6</v>
      </c>
      <c r="F9" s="2" t="b">
        <f>IF(B9="不开标",FALSE,IF($J$12&lt;=5,TRUE,IF($J$12&lt;=10,IF(OR(B9=MAX($B:$B),B9=MIN($B:$B)),FALSE,TRUE),IF($J$12&lt;=20,IF(OR(B9=LARGE($B:$B,1),B9=LARGE($B:$B,2),B9=MIN($B:$B)),FALSE,TRUE),IF($J$12&lt;=30,IF(OR(B9=LARGE($B:$B,1),B9=LARGE($B:$B,2),B9=LARGE($B:$B,3),B9=SMALL($B:$B,1),B9=SMALL($B:$B,2)),FALSE,TRUE),IF(OR(B9=LARGE($B:$B,1),B9=LARGE($B:$B,2),B9=LARGE($B:$B,3),B9=LARGE($B:$B,4),B9=SMALL($B:$B,1),B9=SMALL($B:$B,2),B9=SMALL($B:$B,3)),FALSE,TRUE))))))</f>
        <v>1</v>
      </c>
      <c r="G9" s="2" t="b">
        <f>IF(F9=FALSE,FALSE,IF(AND(B9&lt;J$14,B9&gt;J$15),FALSE,TRUE))</f>
        <v>1</v>
      </c>
    </row>
    <row r="10" spans="1:10">
      <c r="A10" s="1" t="s">
        <v>69</v>
      </c>
      <c r="B10" s="52">
        <v>0.948</v>
      </c>
      <c r="C10" s="27">
        <f>IF(B10="不开标",0,ROUND(100-100*IF(B10&gt;=J$17,J$4,J$5)*ABS(B10-J$17)/J$17,4))</f>
        <v>99.5713</v>
      </c>
      <c r="D10" s="7">
        <f>IF(B10="不开标","",_xlfn.RANK.EQ(C10,C:C,0))</f>
        <v>9</v>
      </c>
      <c r="F10" s="2" t="b">
        <f>IF(B10="不开标",FALSE,IF($J$12&lt;=5,TRUE,IF($J$12&lt;=10,IF(OR(B10=MAX($B:$B),B10=MIN($B:$B)),FALSE,TRUE),IF($J$12&lt;=20,IF(OR(B10=LARGE($B:$B,1),B10=LARGE($B:$B,2),B10=MIN($B:$B)),FALSE,TRUE),IF($J$12&lt;=30,IF(OR(B10=LARGE($B:$B,1),B10=LARGE($B:$B,2),B10=LARGE($B:$B,3),B10=SMALL($B:$B,1),B10=SMALL($B:$B,2)),FALSE,TRUE),IF(OR(B10=LARGE($B:$B,1),B10=LARGE($B:$B,2),B10=LARGE($B:$B,3),B10=LARGE($B:$B,4),B10=SMALL($B:$B,1),B10=SMALL($B:$B,2),B10=SMALL($B:$B,3)),FALSE,TRUE))))))</f>
        <v>1</v>
      </c>
      <c r="G10" s="2" t="b">
        <f>IF(F10=FALSE,FALSE,IF(AND(B10&lt;J$14,B10&gt;J$15),FALSE,TRUE))</f>
        <v>1</v>
      </c>
    </row>
    <row r="11" spans="1:10">
      <c r="A11" s="1" t="s">
        <v>70</v>
      </c>
      <c r="B11" s="52">
        <v>0.9467</v>
      </c>
      <c r="C11" s="27">
        <f>IF(B11="不开标",0,ROUND(100-100*IF(B11&gt;=J$17,J$4,J$5)*ABS(B11-J$17)/J$17,4))</f>
        <v>99.5033</v>
      </c>
      <c r="D11" s="7">
        <f>IF(B11="不开标","",_xlfn.RANK.EQ(C11,C:C,0))</f>
        <v>10</v>
      </c>
      <c r="F11" s="2" t="b">
        <f>IF(B11="不开标",FALSE,IF($J$12&lt;=5,TRUE,IF($J$12&lt;=10,IF(OR(B11=MAX($B:$B),B11=MIN($B:$B)),FALSE,TRUE),IF($J$12&lt;=20,IF(OR(B11=LARGE($B:$B,1),B11=LARGE($B:$B,2),B11=MIN($B:$B)),FALSE,TRUE),IF($J$12&lt;=30,IF(OR(B11=LARGE($B:$B,1),B11=LARGE($B:$B,2),B11=LARGE($B:$B,3),B11=SMALL($B:$B,1),B11=SMALL($B:$B,2)),FALSE,TRUE),IF(OR(B11=LARGE($B:$B,1),B11=LARGE($B:$B,2),B11=LARGE($B:$B,3),B11=LARGE($B:$B,4),B11=SMALL($B:$B,1),B11=SMALL($B:$B,2),B11=SMALL($B:$B,3)),FALSE,TRUE))))))</f>
        <v>1</v>
      </c>
      <c r="G11" s="2" t="b">
        <f>IF(F11=FALSE,FALSE,IF(AND(B11&lt;J$14,B11&gt;J$15),FALSE,TRUE))</f>
        <v>1</v>
      </c>
      <c r="I11" s="4" t="s">
        <v>27</v>
      </c>
    </row>
    <row r="12" spans="1:10">
      <c r="A12" s="1" t="s">
        <v>71</v>
      </c>
      <c r="B12" s="52">
        <v>0.945</v>
      </c>
      <c r="C12" s="27">
        <f>IF(B12="不开标",0,ROUND(100-100*IF(B12&gt;=J$17,J$4,J$5)*ABS(B12-J$17)/J$17,4))</f>
        <v>99.4144</v>
      </c>
      <c r="D12" s="7">
        <f>IF(B12="不开标","",_xlfn.RANK.EQ(C12,C:C,0))</f>
        <v>11</v>
      </c>
      <c r="F12" s="2" t="b">
        <f>IF(B12="不开标",FALSE,IF($J$12&lt;=5,TRUE,IF($J$12&lt;=10,IF(OR(B12=MAX($B:$B),B12=MIN($B:$B)),FALSE,TRUE),IF($J$12&lt;=20,IF(OR(B12=LARGE($B:$B,1),B12=LARGE($B:$B,2),B12=MIN($B:$B)),FALSE,TRUE),IF($J$12&lt;=30,IF(OR(B12=LARGE($B:$B,1),B12=LARGE($B:$B,2),B12=LARGE($B:$B,3),B12=SMALL($B:$B,1),B12=SMALL($B:$B,2)),FALSE,TRUE),IF(OR(B12=LARGE($B:$B,1),B12=LARGE($B:$B,2),B12=LARGE($B:$B,3),B12=LARGE($B:$B,4),B12=SMALL($B:$B,1),B12=SMALL($B:$B,2),B12=SMALL($B:$B,3)),FALSE,TRUE))))))</f>
        <v>1</v>
      </c>
      <c r="G12" s="2" t="b">
        <f>IF(F12=FALSE,FALSE,IF(AND(B12&lt;J$14,B12&gt;J$15),FALSE,TRUE))</f>
        <v>1</v>
      </c>
      <c r="I12" s="9" t="s">
        <v>72</v>
      </c>
      <c r="J12" s="59">
        <f>COUNTA(B:B)-1</f>
        <v>24</v>
      </c>
    </row>
    <row r="13" spans="1:10">
      <c r="A13" s="1" t="s">
        <v>73</v>
      </c>
      <c r="B13" s="52">
        <v>0.945</v>
      </c>
      <c r="C13" s="27">
        <f>IF(B13="不开标",0,ROUND(100-100*IF(B13&gt;=J$17,J$4,J$5)*ABS(B13-J$17)/J$17,4))</f>
        <v>99.4144</v>
      </c>
      <c r="D13" s="7">
        <f>IF(B13="不开标","",_xlfn.RANK.EQ(C13,C:C,0))</f>
        <v>11</v>
      </c>
      <c r="F13" s="2" t="b">
        <f>IF(B13="不开标",FALSE,IF($J$12&lt;=5,TRUE,IF($J$12&lt;=10,IF(OR(B13=MAX($B:$B),B13=MIN($B:$B)),FALSE,TRUE),IF($J$12&lt;=20,IF(OR(B13=LARGE($B:$B,1),B13=LARGE($B:$B,2),B13=MIN($B:$B)),FALSE,TRUE),IF($J$12&lt;=30,IF(OR(B13=LARGE($B:$B,1),B13=LARGE($B:$B,2),B13=LARGE($B:$B,3),B13=SMALL($B:$B,1),B13=SMALL($B:$B,2)),FALSE,TRUE),IF(OR(B13=LARGE($B:$B,1),B13=LARGE($B:$B,2),B13=LARGE($B:$B,3),B13=LARGE($B:$B,4),B13=SMALL($B:$B,1),B13=SMALL($B:$B,2),B13=SMALL($B:$B,3)),FALSE,TRUE))))))</f>
        <v>1</v>
      </c>
      <c r="G13" s="2" t="b">
        <f>IF(F13=FALSE,FALSE,IF(AND(B13&lt;J$14,B13&gt;J$15),FALSE,TRUE))</f>
        <v>1</v>
      </c>
      <c r="I13" s="9" t="s">
        <v>31</v>
      </c>
      <c r="J13" s="60">
        <f>AVERAGEIF(F:F,TRUE,B:B)</f>
        <v>0.946730769230769</v>
      </c>
    </row>
    <row r="14" spans="1:10">
      <c r="A14" s="1" t="s">
        <v>74</v>
      </c>
      <c r="B14" s="52">
        <v>0.945</v>
      </c>
      <c r="C14" s="27">
        <f>IF(B14="不开标",0,ROUND(100-100*IF(B14&gt;=J$17,J$4,J$5)*ABS(B14-J$17)/J$17,4))</f>
        <v>99.4144</v>
      </c>
      <c r="D14" s="7">
        <f>IF(B14="不开标","",_xlfn.RANK.EQ(C14,C:C,0))</f>
        <v>11</v>
      </c>
      <c r="F14" s="2" t="b">
        <f>IF(B14="不开标",FALSE,IF($J$12&lt;=5,TRUE,IF($J$12&lt;=10,IF(OR(B14=MAX($B:$B),B14=MIN($B:$B)),FALSE,TRUE),IF($J$12&lt;=20,IF(OR(B14=LARGE($B:$B,1),B14=LARGE($B:$B,2),B14=MIN($B:$B)),FALSE,TRUE),IF($J$12&lt;=30,IF(OR(B14=LARGE($B:$B,1),B14=LARGE($B:$B,2),B14=LARGE($B:$B,3),B14=SMALL($B:$B,1),B14=SMALL($B:$B,2)),FALSE,TRUE),IF(OR(B14=LARGE($B:$B,1),B14=LARGE($B:$B,2),B14=LARGE($B:$B,3),B14=LARGE($B:$B,4),B14=SMALL($B:$B,1),B14=SMALL($B:$B,2),B14=SMALL($B:$B,3)),FALSE,TRUE))))))</f>
        <v>1</v>
      </c>
      <c r="G14" s="2" t="b">
        <f>IF(F14=FALSE,FALSE,IF(AND(B14&lt;J$14,B14&gt;J$15),FALSE,TRUE))</f>
        <v>1</v>
      </c>
      <c r="I14" s="9" t="s">
        <v>33</v>
      </c>
      <c r="J14" s="61">
        <f>J$13*(1+J2)</f>
        <v>0.804721153846154</v>
      </c>
    </row>
    <row r="15" spans="1:10">
      <c r="A15" s="1" t="s">
        <v>75</v>
      </c>
      <c r="B15" s="52">
        <v>0.945</v>
      </c>
      <c r="C15" s="27">
        <f>IF(B15="不开标",0,ROUND(100-100*IF(B15&gt;=J$17,J$4,J$5)*ABS(B15-J$17)/J$17,4))</f>
        <v>99.4144</v>
      </c>
      <c r="D15" s="7">
        <f>IF(B15="不开标","",_xlfn.RANK.EQ(C15,C:C,0))</f>
        <v>11</v>
      </c>
      <c r="F15" s="2" t="b">
        <f>IF(B15="不开标",FALSE,IF($J$12&lt;=5,TRUE,IF($J$12&lt;=10,IF(OR(B15=MAX($B:$B),B15=MIN($B:$B)),FALSE,TRUE),IF($J$12&lt;=20,IF(OR(B15=LARGE($B:$B,1),B15=LARGE($B:$B,2),B15=MIN($B:$B)),FALSE,TRUE),IF($J$12&lt;=30,IF(OR(B15=LARGE($B:$B,1),B15=LARGE($B:$B,2),B15=LARGE($B:$B,3),B15=SMALL($B:$B,1),B15=SMALL($B:$B,2)),FALSE,TRUE),IF(OR(B15=LARGE($B:$B,1),B15=LARGE($B:$B,2),B15=LARGE($B:$B,3),B15=LARGE($B:$B,4),B15=SMALL($B:$B,1),B15=SMALL($B:$B,2),B15=SMALL($B:$B,3)),FALSE,TRUE))))))</f>
        <v>1</v>
      </c>
      <c r="G15" s="2" t="b">
        <f>IF(F15=FALSE,FALSE,IF(AND(B15&lt;J$14,B15&gt;J$15),FALSE,TRUE))</f>
        <v>1</v>
      </c>
      <c r="I15" s="9" t="s">
        <v>35</v>
      </c>
      <c r="J15" s="61">
        <f>J$13*(1+J3)</f>
        <v>1.04140384615385</v>
      </c>
    </row>
    <row r="16" spans="1:10">
      <c r="A16" s="1" t="s">
        <v>76</v>
      </c>
      <c r="B16" s="52">
        <v>0.9437</v>
      </c>
      <c r="C16" s="27">
        <f>IF(B16="不开标",0,ROUND(100-100*IF(B16&gt;=J$17,J$4,J$5)*ABS(B16-J$17)/J$17,4))</f>
        <v>99.3465</v>
      </c>
      <c r="D16" s="7">
        <f>IF(B16="不开标","",_xlfn.RANK.EQ(C16,C:C,0))</f>
        <v>15</v>
      </c>
      <c r="F16" s="2" t="b">
        <f>IF(B16="不开标",FALSE,IF($J$12&lt;=5,TRUE,IF($J$12&lt;=10,IF(OR(B16=MAX($B:$B),B16=MIN($B:$B)),FALSE,TRUE),IF($J$12&lt;=20,IF(OR(B16=LARGE($B:$B,1),B16=LARGE($B:$B,2),B16=MIN($B:$B)),FALSE,TRUE),IF($J$12&lt;=30,IF(OR(B16=LARGE($B:$B,1),B16=LARGE($B:$B,2),B16=LARGE($B:$B,3),B16=SMALL($B:$B,1),B16=SMALL($B:$B,2)),FALSE,TRUE),IF(OR(B16=LARGE($B:$B,1),B16=LARGE($B:$B,2),B16=LARGE($B:$B,3),B16=LARGE($B:$B,4),B16=SMALL($B:$B,1),B16=SMALL($B:$B,2),B16=SMALL($B:$B,3)),FALSE,TRUE))))))</f>
        <v>1</v>
      </c>
      <c r="G16" s="2" t="b">
        <f>IF(F16=FALSE,FALSE,IF(AND(B16&lt;J$14,B16&gt;J$15),FALSE,TRUE))</f>
        <v>1</v>
      </c>
      <c r="I16" s="9" t="s">
        <v>77</v>
      </c>
      <c r="J16" s="60">
        <f>AVERAGEIF(G:G,TRUE,B:B)</f>
        <v>0.946730769230769</v>
      </c>
    </row>
    <row r="17" spans="1:10">
      <c r="A17" s="1" t="s">
        <v>78</v>
      </c>
      <c r="B17" s="52">
        <v>0.9433</v>
      </c>
      <c r="C17" s="27">
        <f>IF(B17="不开标",0,ROUND(100-100*IF(B17&gt;=J$17,J$4,J$5)*ABS(B17-J$17)/J$17,4))</f>
        <v>99.3256</v>
      </c>
      <c r="D17" s="7">
        <f>IF(B17="不开标","",_xlfn.RANK.EQ(C17,C:C,0))</f>
        <v>16</v>
      </c>
      <c r="F17" s="2" t="b">
        <f>IF(B17="不开标",FALSE,IF($J$12&lt;=5,TRUE,IF($J$12&lt;=10,IF(OR(B17=MAX($B:$B),B17=MIN($B:$B)),FALSE,TRUE),IF($J$12&lt;=20,IF(OR(B17=LARGE($B:$B,1),B17=LARGE($B:$B,2),B17=MIN($B:$B)),FALSE,TRUE),IF($J$12&lt;=30,IF(OR(B17=LARGE($B:$B,1),B17=LARGE($B:$B,2),B17=LARGE($B:$B,3),B17=SMALL($B:$B,1),B17=SMALL($B:$B,2)),FALSE,TRUE),IF(OR(B17=LARGE($B:$B,1),B17=LARGE($B:$B,2),B17=LARGE($B:$B,3),B17=LARGE($B:$B,4),B17=SMALL($B:$B,1),B17=SMALL($B:$B,2),B17=SMALL($B:$B,3)),FALSE,TRUE))))))</f>
        <v>1</v>
      </c>
      <c r="G17" s="2" t="b">
        <f>IF(F17=FALSE,FALSE,IF(AND(B17&lt;J$14,B17&gt;J$15),FALSE,TRUE))</f>
        <v>1</v>
      </c>
      <c r="I17" s="15" t="s">
        <v>41</v>
      </c>
      <c r="J17" s="62">
        <f>J16*(1+J6)</f>
        <v>0.956198076923077</v>
      </c>
    </row>
    <row r="18" spans="1:10">
      <c r="A18" s="1" t="s">
        <v>79</v>
      </c>
      <c r="B18" s="52">
        <v>0.943</v>
      </c>
      <c r="C18" s="27">
        <f>IF(B18="不开标",0,ROUND(100-100*IF(B18&gt;=J$17,J$4,J$5)*ABS(B18-J$17)/J$17,4))</f>
        <v>99.3099</v>
      </c>
      <c r="D18" s="7">
        <f>IF(B18="不开标","",_xlfn.RANK.EQ(C18,C:C,0))</f>
        <v>17</v>
      </c>
      <c r="F18" s="2" t="b">
        <f>IF(B18="不开标",FALSE,IF($J$12&lt;=5,TRUE,IF($J$12&lt;=10,IF(OR(B18=MAX($B:$B),B18=MIN($B:$B)),FALSE,TRUE),IF($J$12&lt;=20,IF(OR(B18=LARGE($B:$B,1),B18=LARGE($B:$B,2),B18=MIN($B:$B)),FALSE,TRUE),IF($J$12&lt;=30,IF(OR(B18=LARGE($B:$B,1),B18=LARGE($B:$B,2),B18=LARGE($B:$B,3),B18=SMALL($B:$B,1),B18=SMALL($B:$B,2)),FALSE,TRUE),IF(OR(B18=LARGE($B:$B,1),B18=LARGE($B:$B,2),B18=LARGE($B:$B,3),B18=LARGE($B:$B,4),B18=SMALL($B:$B,1),B18=SMALL($B:$B,2),B18=SMALL($B:$B,3)),FALSE,TRUE))))))</f>
        <v>1</v>
      </c>
      <c r="G18" s="2" t="b">
        <f>IF(F18=FALSE,FALSE,IF(AND(B18&lt;J$14,B18&gt;J$15),FALSE,TRUE))</f>
        <v>1</v>
      </c>
      <c r="J18" s="63"/>
    </row>
    <row r="19" spans="1:10">
      <c r="A19" s="1" t="s">
        <v>12</v>
      </c>
      <c r="B19" s="52">
        <v>0.94</v>
      </c>
      <c r="C19" s="27">
        <f>IF(B19="不开标",0,ROUND(100-100*IF(B19&gt;=J$17,J$4,J$5)*ABS(B19-J$17)/J$17,4))</f>
        <v>99.153</v>
      </c>
      <c r="D19" s="7">
        <f>IF(B19="不开标","",_xlfn.RANK.EQ(C19,C:C,0))</f>
        <v>18</v>
      </c>
      <c r="F19" s="2" t="b">
        <f>IF(B19="不开标",FALSE,IF($J$12&lt;=5,TRUE,IF($J$12&lt;=10,IF(OR(B19=MAX($B:$B),B19=MIN($B:$B)),FALSE,TRUE),IF($J$12&lt;=20,IF(OR(B19=LARGE($B:$B,1),B19=LARGE($B:$B,2),B19=MIN($B:$B)),FALSE,TRUE),IF($J$12&lt;=30,IF(OR(B19=LARGE($B:$B,1),B19=LARGE($B:$B,2),B19=LARGE($B:$B,3),B19=SMALL($B:$B,1),B19=SMALL($B:$B,2)),FALSE,TRUE),IF(OR(B19=LARGE($B:$B,1),B19=LARGE($B:$B,2),B19=LARGE($B:$B,3),B19=LARGE($B:$B,4),B19=SMALL($B:$B,1),B19=SMALL($B:$B,2),B19=SMALL($B:$B,3)),FALSE,TRUE))))))</f>
        <v>0</v>
      </c>
      <c r="G19" s="2" t="b">
        <f>IF(F19=FALSE,FALSE,IF(AND(B19&lt;J$14,B19&gt;J$15),FALSE,TRUE))</f>
        <v>0</v>
      </c>
      <c r="I19" s="4" t="s">
        <v>44</v>
      </c>
    </row>
    <row r="20" spans="1:10">
      <c r="A20" s="1" t="s">
        <v>51</v>
      </c>
      <c r="B20" s="52">
        <v>0.94</v>
      </c>
      <c r="C20" s="27">
        <f>IF(B20="不开标",0,ROUND(100-100*IF(B20&gt;=J$17,J$4,J$5)*ABS(B20-J$17)/J$17,4))</f>
        <v>99.153</v>
      </c>
      <c r="D20" s="7">
        <f>IF(B20="不开标","",_xlfn.RANK.EQ(C20,C:C,0))</f>
        <v>18</v>
      </c>
      <c r="F20" s="2" t="b">
        <f>IF(B20="不开标",FALSE,IF($J$12&lt;=5,TRUE,IF($J$12&lt;=10,IF(OR(B20=MAX($B:$B),B20=MIN($B:$B)),FALSE,TRUE),IF($J$12&lt;=20,IF(OR(B20=LARGE($B:$B,1),B20=LARGE($B:$B,2),B20=MIN($B:$B)),FALSE,TRUE),IF($J$12&lt;=30,IF(OR(B20=LARGE($B:$B,1),B20=LARGE($B:$B,2),B20=LARGE($B:$B,3),B20=SMALL($B:$B,1),B20=SMALL($B:$B,2)),FALSE,TRUE),IF(OR(B20=LARGE($B:$B,1),B20=LARGE($B:$B,2),B20=LARGE($B:$B,3),B20=LARGE($B:$B,4),B20=SMALL($B:$B,1),B20=SMALL($B:$B,2),B20=SMALL($B:$B,3)),FALSE,TRUE))))))</f>
        <v>0</v>
      </c>
      <c r="G20" s="2" t="b">
        <f>IF(F20=FALSE,FALSE,IF(AND(B20&lt;J$14,B20&gt;J$15),FALSE,TRUE))</f>
        <v>0</v>
      </c>
      <c r="I20" s="17" t="s">
        <v>46</v>
      </c>
      <c r="J20" s="18"/>
    </row>
    <row r="21" spans="1:10">
      <c r="A21" s="1" t="s">
        <v>10</v>
      </c>
      <c r="B21" s="52">
        <v>0.94</v>
      </c>
      <c r="C21" s="27">
        <f>IF(B21="不开标",0,ROUND(100-100*IF(B21&gt;=J$17,J$4,J$5)*ABS(B21-J$17)/J$17,4))</f>
        <v>99.153</v>
      </c>
      <c r="D21" s="7">
        <f>IF(B21="不开标","",_xlfn.RANK.EQ(C21,C:C,0))</f>
        <v>18</v>
      </c>
      <c r="F21" s="2" t="b">
        <f>IF(B21="不开标",FALSE,IF($J$12&lt;=5,TRUE,IF($J$12&lt;=10,IF(OR(B21=MAX($B:$B),B21=MIN($B:$B)),FALSE,TRUE),IF($J$12&lt;=20,IF(OR(B21=LARGE($B:$B,1),B21=LARGE($B:$B,2),B21=MIN($B:$B)),FALSE,TRUE),IF($J$12&lt;=30,IF(OR(B21=LARGE($B:$B,1),B21=LARGE($B:$B,2),B21=LARGE($B:$B,3),B21=SMALL($B:$B,1),B21=SMALL($B:$B,2)),FALSE,TRUE),IF(OR(B21=LARGE($B:$B,1),B21=LARGE($B:$B,2),B21=LARGE($B:$B,3),B21=LARGE($B:$B,4),B21=SMALL($B:$B,1),B21=SMALL($B:$B,2),B21=SMALL($B:$B,3)),FALSE,TRUE))))))</f>
        <v>0</v>
      </c>
      <c r="G21" s="2" t="b">
        <f>IF(F21=FALSE,FALSE,IF(AND(B21&lt;J$14,B21&gt;J$15),FALSE,TRUE))</f>
        <v>0</v>
      </c>
      <c r="I21" s="9" t="s">
        <v>48</v>
      </c>
      <c r="J21" s="9" t="str">
        <f>IFERROR(VLOOKUP(I$20,A:C,3,0),"")</f>
        <v/>
      </c>
    </row>
    <row r="22" spans="1:10">
      <c r="A22" s="1" t="s">
        <v>53</v>
      </c>
      <c r="B22" s="52">
        <v>0.94</v>
      </c>
      <c r="C22" s="27">
        <f>IF(B22="不开标",0,ROUND(100-100*IF(B22&gt;=J$17,J$4,J$5)*ABS(B22-J$17)/J$17,4))</f>
        <v>99.153</v>
      </c>
      <c r="D22" s="7">
        <f>IF(B22="不开标","",_xlfn.RANK.EQ(C22,C:C,0))</f>
        <v>18</v>
      </c>
      <c r="F22" s="2" t="b">
        <f>IF(B22="不开标",FALSE,IF($J$12&lt;=5,TRUE,IF($J$12&lt;=10,IF(OR(B22=MAX($B:$B),B22=MIN($B:$B)),FALSE,TRUE),IF($J$12&lt;=20,IF(OR(B22=LARGE($B:$B,1),B22=LARGE($B:$B,2),B22=MIN($B:$B)),FALSE,TRUE),IF($J$12&lt;=30,IF(OR(B22=LARGE($B:$B,1),B22=LARGE($B:$B,2),B22=LARGE($B:$B,3),B22=SMALL($B:$B,1),B22=SMALL($B:$B,2)),FALSE,TRUE),IF(OR(B22=LARGE($B:$B,1),B22=LARGE($B:$B,2),B22=LARGE($B:$B,3),B22=LARGE($B:$B,4),B22=SMALL($B:$B,1),B22=SMALL($B:$B,2),B22=SMALL($B:$B,3)),FALSE,TRUE))))))</f>
        <v>0</v>
      </c>
      <c r="G22" s="2" t="b">
        <f>IF(F22=FALSE,FALSE,IF(AND(B22&lt;J$14,B22&gt;J$15),FALSE,TRUE))</f>
        <v>0</v>
      </c>
      <c r="I22" s="15" t="s">
        <v>50</v>
      </c>
      <c r="J22" s="15" t="str">
        <f>IFERROR(VLOOKUP(I$20,A:D,4,0),"")</f>
        <v/>
      </c>
    </row>
    <row r="23" spans="1:10">
      <c r="A23" s="1" t="s">
        <v>55</v>
      </c>
      <c r="B23" s="52">
        <v>0.94</v>
      </c>
      <c r="C23" s="27">
        <f>IF(B23="不开标",0,ROUND(100-100*IF(B23&gt;=J$17,J$4,J$5)*ABS(B23-J$17)/J$17,4))</f>
        <v>99.153</v>
      </c>
      <c r="D23" s="7">
        <f>IF(B23="不开标","",_xlfn.RANK.EQ(C23,C:C,0))</f>
        <v>18</v>
      </c>
      <c r="F23" s="2" t="b">
        <f>IF(B23="不开标",FALSE,IF($J$12&lt;=5,TRUE,IF($J$12&lt;=10,IF(OR(B23=MAX($B:$B),B23=MIN($B:$B)),FALSE,TRUE),IF($J$12&lt;=20,IF(OR(B23=LARGE($B:$B,1),B23=LARGE($B:$B,2),B23=MIN($B:$B)),FALSE,TRUE),IF($J$12&lt;=30,IF(OR(B23=LARGE($B:$B,1),B23=LARGE($B:$B,2),B23=LARGE($B:$B,3),B23=SMALL($B:$B,1),B23=SMALL($B:$B,2)),FALSE,TRUE),IF(OR(B23=LARGE($B:$B,1),B23=LARGE($B:$B,2),B23=LARGE($B:$B,3),B23=LARGE($B:$B,4),B23=SMALL($B:$B,1),B23=SMALL($B:$B,2),B23=SMALL($B:$B,3)),FALSE,TRUE))))))</f>
        <v>0</v>
      </c>
      <c r="G23" s="2" t="b">
        <f>IF(F23=FALSE,FALSE,IF(AND(B23&lt;J$14,B23&gt;J$15),FALSE,TRUE))</f>
        <v>0</v>
      </c>
      <c r="I23" s="9" t="s">
        <v>52</v>
      </c>
      <c r="J23" s="20">
        <f t="array" ref="J23">MAX(C:C)</f>
        <v>99.9792</v>
      </c>
    </row>
    <row r="24" spans="1:10">
      <c r="A24" s="1" t="s">
        <v>80</v>
      </c>
      <c r="B24" s="52">
        <v>0.94</v>
      </c>
      <c r="C24" s="27">
        <f>IF(B24="不开标",0,ROUND(100-100*IF(B24&gt;=J$17,J$4,J$5)*ABS(B24-J$17)/J$17,4))</f>
        <v>99.153</v>
      </c>
      <c r="D24" s="7">
        <f>IF(B24="不开标","",_xlfn.RANK.EQ(C24,C:C,0))</f>
        <v>18</v>
      </c>
      <c r="F24" s="2" t="b">
        <f>IF(B24="不开标",FALSE,IF($J$12&lt;=5,TRUE,IF($J$12&lt;=10,IF(OR(B24=MAX($B:$B),B24=MIN($B:$B)),FALSE,TRUE),IF($J$12&lt;=20,IF(OR(B24=LARGE($B:$B,1),B24=LARGE($B:$B,2),B24=MIN($B:$B)),FALSE,TRUE),IF($J$12&lt;=30,IF(OR(B24=LARGE($B:$B,1),B24=LARGE($B:$B,2),B24=LARGE($B:$B,3),B24=SMALL($B:$B,1),B24=SMALL($B:$B,2)),FALSE,TRUE),IF(OR(B24=LARGE($B:$B,1),B24=LARGE($B:$B,2),B24=LARGE($B:$B,3),B24=LARGE($B:$B,4),B24=SMALL($B:$B,1),B24=SMALL($B:$B,2),B24=SMALL($B:$B,3)),FALSE,TRUE))))))</f>
        <v>0</v>
      </c>
      <c r="G24" s="2" t="b">
        <f>IF(F24=FALSE,FALSE,IF(AND(B24&lt;J$14,B24&gt;J$15),FALSE,TRUE))</f>
        <v>0</v>
      </c>
      <c r="I24" s="9" t="s">
        <v>54</v>
      </c>
      <c r="J24" s="9" t="str">
        <f>IFERROR(J23-J21,"")</f>
        <v/>
      </c>
    </row>
    <row r="25" spans="1:10">
      <c r="A25" s="1" t="s">
        <v>14</v>
      </c>
      <c r="B25" s="52" t="s">
        <v>56</v>
      </c>
      <c r="C25" s="27">
        <f>IF(B25="不开标",0,ROUND(100-100*IF(B25&gt;=J$17,J$4,J$5)*ABS(B25-J$17)/J$17,4))</f>
        <v>0</v>
      </c>
      <c r="D25" s="7" t="str">
        <f>IF(B25="不开标","",_xlfn.RANK.EQ(C25,C:C,0))</f>
        <v/>
      </c>
      <c r="F25" s="2" t="b">
        <f>IF(B25="不开标",FALSE,IF($J$12&lt;=5,TRUE,IF($J$12&lt;=10,IF(OR(B25=MAX($B:$B),B25=MIN($B:$B)),FALSE,TRUE),IF($J$12&lt;=20,IF(OR(B25=LARGE($B:$B,1),B25=LARGE($B:$B,2),B25=MIN($B:$B)),FALSE,TRUE),IF($J$12&lt;=30,IF(OR(B25=LARGE($B:$B,1),B25=LARGE($B:$B,2),B25=LARGE($B:$B,3),B25=SMALL($B:$B,1),B25=SMALL($B:$B,2)),FALSE,TRUE),IF(OR(B25=LARGE($B:$B,1),B25=LARGE($B:$B,2),B25=LARGE($B:$B,3),B25=LARGE($B:$B,4),B25=SMALL($B:$B,1),B25=SMALL($B:$B,2),B25=SMALL($B:$B,3)),FALSE,TRUE))))))</f>
        <v>0</v>
      </c>
      <c r="G25" s="2" t="b">
        <f>IF(F25=FALSE,FALSE,IF(AND(B25&lt;J$14,B25&gt;J$15),FALSE,TRUE))</f>
        <v>0</v>
      </c>
      <c r="I25" s="15" t="s">
        <v>57</v>
      </c>
      <c r="J25" s="15" t="str">
        <f>IFERROR(J24*J8,"")</f>
        <v/>
      </c>
    </row>
    <row r="26" spans="1:10">
      <c r="C26" s="27"/>
    </row>
    <row r="27" spans="1:10">
      <c r="C27" s="27"/>
    </row>
    <row r="28" spans="1:10">
      <c r="C28" s="27"/>
    </row>
    <row r="29" spans="1:10">
      <c r="C29" s="27"/>
    </row>
    <row r="30" spans="1:10">
      <c r="C30" s="27"/>
    </row>
    <row r="31" spans="1:10">
      <c r="C31" s="27"/>
    </row>
    <row r="32" spans="1:10">
      <c r="C32" s="27"/>
    </row>
    <row r="33" spans="3:3">
      <c r="C33" s="27"/>
    </row>
    <row r="34" spans="3:3">
      <c r="C34" s="27"/>
    </row>
    <row r="35" spans="3:3">
      <c r="C35" s="27"/>
    </row>
    <row r="36" spans="3:3">
      <c r="C36" s="27"/>
    </row>
    <row r="37" spans="3:3">
      <c r="C37" s="27"/>
    </row>
    <row r="38" spans="3:3">
      <c r="C38" s="27"/>
    </row>
    <row r="39" spans="3:3">
      <c r="C39" s="27"/>
    </row>
    <row r="40" spans="3:3">
      <c r="C40" s="27"/>
    </row>
    <row r="41" spans="3:3">
      <c r="C41" s="27"/>
    </row>
    <row r="42" spans="3:3">
      <c r="C42" s="27"/>
    </row>
    <row r="43" spans="3:3">
      <c r="C43" s="27"/>
    </row>
    <row r="44" spans="3:3">
      <c r="C44" s="27"/>
    </row>
    <row r="45" spans="3:3">
      <c r="C45" s="27"/>
    </row>
    <row r="46" spans="3:3">
      <c r="C46" s="27"/>
    </row>
    <row r="47" spans="3:3">
      <c r="C47" s="27"/>
    </row>
    <row r="48" spans="3:3">
      <c r="C48" s="27"/>
    </row>
    <row r="49" spans="3:3">
      <c r="C49" s="27"/>
    </row>
    <row r="50" spans="3:3">
      <c r="C50" s="27"/>
    </row>
    <row r="51" spans="3:3">
      <c r="C51" s="27"/>
    </row>
    <row r="52" spans="3:3">
      <c r="C52" s="27"/>
    </row>
    <row r="53" spans="3:3">
      <c r="C53" s="27"/>
    </row>
    <row r="54" spans="3:3">
      <c r="C54" s="27"/>
    </row>
    <row r="55" spans="3:3">
      <c r="C55" s="27"/>
    </row>
    <row r="56" spans="3:3">
      <c r="C56" s="27"/>
    </row>
    <row r="57" spans="3:3">
      <c r="C57" s="27"/>
    </row>
    <row r="58" spans="3:3">
      <c r="C58" s="27"/>
    </row>
    <row r="59" spans="3:3">
      <c r="C59" s="27"/>
    </row>
    <row r="60" spans="3:3">
      <c r="C60" s="27"/>
    </row>
    <row r="61" spans="3:3">
      <c r="C61" s="27"/>
    </row>
    <row r="62" spans="3:3">
      <c r="C62" s="27"/>
    </row>
    <row r="63" spans="3:3">
      <c r="C63" s="27"/>
    </row>
    <row r="64" spans="3:3">
      <c r="C64" s="27"/>
    </row>
    <row r="65" spans="3:3">
      <c r="C65" s="27"/>
    </row>
    <row r="66" spans="3:3">
      <c r="C66" s="27"/>
    </row>
    <row r="67" spans="3:3">
      <c r="C67" s="27"/>
    </row>
    <row r="68" spans="3:3">
      <c r="C68" s="27"/>
    </row>
    <row r="69" spans="3:3">
      <c r="C69" s="27"/>
    </row>
    <row r="70" spans="3:3">
      <c r="C70" s="27"/>
    </row>
  </sheetData>
  <autoFilter xmlns:etc="http://www.wps.cn/officeDocument/2017/etCustomData" ref="A1:G70" etc:filterBottomFollowUsedRange="0">
    <sortState ref="A2:G70">
      <sortCondition ref="D1"/>
    </sortState>
    <extLst/>
  </autoFilter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workbookViewId="0">
      <pane ySplit="1" topLeftCell="A2" activePane="bottomLeft" state="frozen"/>
      <selection/>
      <selection pane="bottomLeft" activeCell="J18" sqref="J18"/>
    </sheetView>
  </sheetViews>
  <sheetFormatPr defaultColWidth="9.84545454545455" defaultRowHeight="14"/>
  <cols>
    <col min="1" max="1" width="20.5363636363636" style="1" customWidth="1"/>
    <col min="2" max="2" width="14" style="43" customWidth="1"/>
    <col min="3" max="3" width="11.3090909090909" style="44" customWidth="1"/>
    <col min="4" max="4" width="10.5363636363636" style="7" customWidth="1"/>
    <col min="5" max="5" width="4.30909090909091" style="2" customWidth="1"/>
    <col min="6" max="6" width="11.8454545454545" style="2" customWidth="1"/>
    <col min="7" max="7" width="15.7636363636364" style="2" customWidth="1"/>
    <col min="8" max="8" width="3.18181818181818" style="2" customWidth="1"/>
    <col min="9" max="9" width="35.3818181818182" style="2" customWidth="1"/>
    <col min="10" max="10" width="14" style="2" customWidth="1"/>
    <col min="11" max="11" width="5.24545454545455" style="2" customWidth="1"/>
    <col min="12" max="16374" width="9.84545454545455" style="2"/>
    <col min="16375" max="16381" width="9.84545454545455" style="45"/>
    <col min="16382" max="16384" width="9.84545454545455" style="2"/>
  </cols>
  <sheetData>
    <row r="1" s="2" customFormat="1" ht="14.15" customHeight="1" spans="1:12">
      <c r="A1" s="3" t="s">
        <v>81</v>
      </c>
      <c r="B1" s="46" t="s">
        <v>82</v>
      </c>
      <c r="C1" s="47" t="s">
        <v>5</v>
      </c>
      <c r="D1" s="3" t="s">
        <v>6</v>
      </c>
      <c r="E1" s="3"/>
      <c r="F1" s="3" t="s">
        <v>83</v>
      </c>
      <c r="G1" s="3" t="s">
        <v>84</v>
      </c>
      <c r="H1" s="3"/>
      <c r="I1" s="4" t="s">
        <v>9</v>
      </c>
      <c r="K1" s="3"/>
      <c r="L1" s="3"/>
    </row>
    <row r="2" s="2" customFormat="1" spans="1:12">
      <c r="A2" s="1" t="s">
        <v>28</v>
      </c>
      <c r="B2" s="48">
        <v>383.192</v>
      </c>
      <c r="C2" s="44">
        <f>IF(B2="不开标",0,ROUND(IF(B2,MAX(0,100-100*J$6*IF(B2&gt;=$J$18,J$4,J$5)*ABS(B2-$J$18)/$J$18),""),4))</f>
        <v>99.4541</v>
      </c>
      <c r="D2" s="7">
        <f>IF(B2="不开标","",_xlfn.RANK.EQ(C2,C:C,0))</f>
        <v>1</v>
      </c>
      <c r="F2" s="2" t="b">
        <f>IF(B2="不开标",FALSE,IF($J$12&lt;10,TRUE,IF(AND($J$12&gt;=10,$J$12&lt;=20),NOT(OR(RANK(B2,$B$2:$B$78,0)=1,RANK(B2,$B$2:$B$78,1)=1)),IF(AND($J$12&gt;=20,$J$12&lt;30),NOT(OR(RANK(B2,$B$2:$B$78,0)&lt;=2,RANK(B2,$B$2:$B$78,1)=1)),IF($J$12&gt;=30,NOT(OR(RANK(B2,$B$2:$B$78,0)&lt;=3,RANK(B2,$B$2:$B$78,1)&lt;=2)))))))</f>
        <v>1</v>
      </c>
      <c r="G2" s="2" t="b">
        <f>IF(F2=TRUE,IF(AND(B2&gt;=J$14,B2&lt;=J$15),TRUE,FALSE),FALSE)</f>
        <v>1</v>
      </c>
      <c r="I2" s="9" t="s">
        <v>59</v>
      </c>
      <c r="J2" s="29">
        <v>-0.2</v>
      </c>
    </row>
    <row r="3" s="2" customFormat="1" spans="1:12">
      <c r="A3" s="1" t="s">
        <v>30</v>
      </c>
      <c r="B3" s="48">
        <v>385.56</v>
      </c>
      <c r="C3" s="44">
        <f t="shared" ref="C3:C34" si="0">IF(B3="不开标",0,ROUND(IF(B3,MAX(0,100-100*J$6*IF(B3&gt;=$J$18,J$4,J$5)*ABS(B3-$J$18)/$J$18),""),4))</f>
        <v>98.8327</v>
      </c>
      <c r="D3" s="7">
        <f t="shared" ref="D3:D34" si="1">IF(B3="不开标","",_xlfn.RANK.EQ(C3,C:C,0))</f>
        <v>2</v>
      </c>
      <c r="F3" s="2" t="b">
        <f t="shared" ref="F3:F34" si="2">IF(B3="不开标",FALSE,IF($J$12&lt;10,TRUE,IF(AND($J$12&gt;=10,$J$12&lt;=20),NOT(OR(RANK(B3,$B$2:$B$78,0)=1,RANK(B3,$B$2:$B$78,1)=1)),IF(AND($J$12&gt;=20,$J$12&lt;30),NOT(OR(RANK(B3,$B$2:$B$78,0)&lt;=2,RANK(B3,$B$2:$B$78,1)=1)),IF($J$12&gt;=30,NOT(OR(RANK(B3,$B$2:$B$78,0)&lt;=3,RANK(B3,$B$2:$B$78,1)&lt;=2)))))))</f>
        <v>1</v>
      </c>
      <c r="G3" s="2" t="b">
        <f t="shared" ref="G3:G34" si="3">IF(F3=TRUE,IF(AND(B3&gt;=J$14,B3&lt;=J$15),TRUE,FALSE),FALSE)</f>
        <v>1</v>
      </c>
      <c r="I3" s="9" t="s">
        <v>61</v>
      </c>
      <c r="J3" s="29">
        <v>0.1</v>
      </c>
    </row>
    <row r="4" s="2" customFormat="1" spans="1:12">
      <c r="A4" s="1" t="s">
        <v>26</v>
      </c>
      <c r="B4" s="48">
        <v>357.839925</v>
      </c>
      <c r="C4" s="44">
        <f t="shared" si="0"/>
        <v>96.3363</v>
      </c>
      <c r="D4" s="7">
        <f t="shared" si="1"/>
        <v>3</v>
      </c>
      <c r="F4" s="2" t="b">
        <f t="shared" si="2"/>
        <v>1</v>
      </c>
      <c r="G4" s="2" t="b">
        <f t="shared" si="3"/>
        <v>1</v>
      </c>
      <c r="I4" s="9" t="s">
        <v>85</v>
      </c>
      <c r="J4" s="23">
        <v>1</v>
      </c>
    </row>
    <row r="5" s="2" customFormat="1" spans="1:12">
      <c r="A5" s="1" t="s">
        <v>32</v>
      </c>
      <c r="B5" s="48">
        <v>355.385</v>
      </c>
      <c r="C5" s="44">
        <f t="shared" si="0"/>
        <v>95.9498</v>
      </c>
      <c r="D5" s="7">
        <f t="shared" si="1"/>
        <v>4</v>
      </c>
      <c r="F5" s="2" t="b">
        <f t="shared" si="2"/>
        <v>1</v>
      </c>
      <c r="G5" s="2" t="b">
        <f t="shared" si="3"/>
        <v>1</v>
      </c>
      <c r="I5" s="9" t="s">
        <v>86</v>
      </c>
      <c r="J5" s="23">
        <v>0.6</v>
      </c>
    </row>
    <row r="6" s="2" customFormat="1" spans="1:12">
      <c r="A6" s="1" t="s">
        <v>34</v>
      </c>
      <c r="B6" s="48">
        <v>352.8</v>
      </c>
      <c r="C6" s="44">
        <f t="shared" si="0"/>
        <v>95.5428</v>
      </c>
      <c r="D6" s="7">
        <f t="shared" si="1"/>
        <v>5</v>
      </c>
      <c r="F6" s="2" t="b">
        <f t="shared" si="2"/>
        <v>1</v>
      </c>
      <c r="G6" s="2" t="b">
        <f t="shared" si="3"/>
        <v>1</v>
      </c>
      <c r="I6" s="9" t="s">
        <v>87</v>
      </c>
      <c r="J6" s="23">
        <v>1</v>
      </c>
    </row>
    <row r="7" s="2" customFormat="1" spans="1:12">
      <c r="A7" s="1" t="s">
        <v>36</v>
      </c>
      <c r="B7" s="48">
        <v>351.288</v>
      </c>
      <c r="C7" s="44">
        <f t="shared" si="0"/>
        <v>95.3048</v>
      </c>
      <c r="D7" s="7">
        <f t="shared" si="1"/>
        <v>6</v>
      </c>
      <c r="F7" s="2" t="b">
        <f t="shared" si="2"/>
        <v>1</v>
      </c>
      <c r="G7" s="2" t="b">
        <f t="shared" si="3"/>
        <v>1</v>
      </c>
      <c r="I7" s="9" t="s">
        <v>21</v>
      </c>
      <c r="J7" s="23">
        <v>504.2</v>
      </c>
    </row>
    <row r="8" s="2" customFormat="1" spans="1:12">
      <c r="A8" s="1" t="s">
        <v>38</v>
      </c>
      <c r="B8" s="48">
        <v>350.28</v>
      </c>
      <c r="C8" s="44">
        <f t="shared" si="0"/>
        <v>95.1461</v>
      </c>
      <c r="D8" s="7">
        <f t="shared" si="1"/>
        <v>7</v>
      </c>
      <c r="F8" s="2" t="b">
        <f t="shared" si="2"/>
        <v>0</v>
      </c>
      <c r="G8" s="2" t="b">
        <f t="shared" si="3"/>
        <v>0</v>
      </c>
      <c r="I8" s="49" t="s">
        <v>23</v>
      </c>
      <c r="J8" s="36">
        <v>0.4</v>
      </c>
    </row>
    <row r="9" s="2" customFormat="1" spans="1:12">
      <c r="A9" s="1" t="s">
        <v>40</v>
      </c>
      <c r="B9" s="48">
        <v>347.75976</v>
      </c>
      <c r="C9" s="44">
        <f t="shared" si="0"/>
        <v>94.7493</v>
      </c>
      <c r="D9" s="7">
        <f t="shared" si="1"/>
        <v>8</v>
      </c>
      <c r="F9" s="2" t="b">
        <f t="shared" si="2"/>
        <v>0</v>
      </c>
      <c r="G9" s="2" t="b">
        <f t="shared" si="3"/>
        <v>0</v>
      </c>
    </row>
    <row r="10" s="2" customFormat="1" spans="1:12">
      <c r="A10" s="1" t="s">
        <v>42</v>
      </c>
      <c r="B10" s="48">
        <v>405.939488</v>
      </c>
      <c r="C10" s="44">
        <f t="shared" si="0"/>
        <v>93.4853</v>
      </c>
      <c r="D10" s="7">
        <f t="shared" si="1"/>
        <v>9</v>
      </c>
      <c r="F10" s="2" t="b">
        <f t="shared" si="2"/>
        <v>1</v>
      </c>
      <c r="G10" s="2" t="b">
        <f t="shared" si="3"/>
        <v>1</v>
      </c>
    </row>
    <row r="11" s="2" customFormat="1" spans="1:12">
      <c r="A11" s="1" t="s">
        <v>43</v>
      </c>
      <c r="B11" s="48">
        <v>408.336455</v>
      </c>
      <c r="C11" s="44">
        <f t="shared" si="0"/>
        <v>92.8564</v>
      </c>
      <c r="D11" s="7">
        <f t="shared" si="1"/>
        <v>10</v>
      </c>
      <c r="F11" s="2" t="b">
        <f t="shared" si="2"/>
        <v>1</v>
      </c>
      <c r="G11" s="2" t="b">
        <f t="shared" si="3"/>
        <v>1</v>
      </c>
      <c r="I11" s="4" t="s">
        <v>27</v>
      </c>
    </row>
    <row r="12" s="2" customFormat="1" spans="1:12">
      <c r="A12" s="1" t="s">
        <v>45</v>
      </c>
      <c r="B12" s="48">
        <v>410.771724</v>
      </c>
      <c r="C12" s="44">
        <f t="shared" si="0"/>
        <v>92.2174</v>
      </c>
      <c r="D12" s="7">
        <f t="shared" si="1"/>
        <v>11</v>
      </c>
      <c r="F12" s="2" t="b">
        <f t="shared" si="2"/>
        <v>1</v>
      </c>
      <c r="G12" s="2" t="b">
        <f t="shared" si="3"/>
        <v>1</v>
      </c>
      <c r="I12" s="9" t="s">
        <v>72</v>
      </c>
      <c r="J12" s="37">
        <f>COUNTA(B:B)-1</f>
        <v>42</v>
      </c>
    </row>
    <row r="13" s="2" customFormat="1" spans="1:12">
      <c r="A13" s="1" t="s">
        <v>25</v>
      </c>
      <c r="B13" s="48">
        <v>411.885</v>
      </c>
      <c r="C13" s="44">
        <f t="shared" si="0"/>
        <v>91.9253</v>
      </c>
      <c r="D13" s="7">
        <f t="shared" si="1"/>
        <v>12</v>
      </c>
      <c r="F13" s="2" t="b">
        <f t="shared" si="2"/>
        <v>1</v>
      </c>
      <c r="G13" s="2" t="b">
        <f t="shared" si="3"/>
        <v>1</v>
      </c>
      <c r="I13" s="9" t="s">
        <v>31</v>
      </c>
      <c r="J13" s="50">
        <f>AVERAGEIF(F:F,TRUE,B:B)</f>
        <v>410.934691333333</v>
      </c>
    </row>
    <row r="14" s="2" customFormat="1" spans="1:12">
      <c r="A14" s="1" t="s">
        <v>24</v>
      </c>
      <c r="B14" s="48">
        <v>412.2579</v>
      </c>
      <c r="C14" s="44">
        <f t="shared" si="0"/>
        <v>91.8274</v>
      </c>
      <c r="D14" s="7">
        <f t="shared" si="1"/>
        <v>13</v>
      </c>
      <c r="F14" s="2" t="b">
        <f t="shared" si="2"/>
        <v>1</v>
      </c>
      <c r="G14" s="2" t="b">
        <f t="shared" si="3"/>
        <v>1</v>
      </c>
      <c r="I14" s="9" t="s">
        <v>33</v>
      </c>
      <c r="J14" s="40">
        <f>J$13*(1+J2)</f>
        <v>328.747753066667</v>
      </c>
    </row>
    <row r="15" s="2" customFormat="1" spans="1:12">
      <c r="A15" s="1" t="s">
        <v>22</v>
      </c>
      <c r="B15" s="48">
        <v>413.444</v>
      </c>
      <c r="C15" s="44">
        <f t="shared" si="0"/>
        <v>91.5162</v>
      </c>
      <c r="D15" s="7">
        <f t="shared" si="1"/>
        <v>14</v>
      </c>
      <c r="F15" s="2" t="b">
        <f t="shared" si="2"/>
        <v>1</v>
      </c>
      <c r="G15" s="2" t="b">
        <f t="shared" si="3"/>
        <v>1</v>
      </c>
      <c r="I15" s="9" t="s">
        <v>35</v>
      </c>
      <c r="J15" s="40">
        <f>J$13*(1+J3)</f>
        <v>452.028160466667</v>
      </c>
    </row>
    <row r="16" s="2" customFormat="1" spans="1:12">
      <c r="A16" s="1" t="s">
        <v>20</v>
      </c>
      <c r="B16" s="48">
        <v>413.444061</v>
      </c>
      <c r="C16" s="44">
        <f t="shared" si="0"/>
        <v>91.5162</v>
      </c>
      <c r="D16" s="7">
        <f t="shared" si="1"/>
        <v>14</v>
      </c>
      <c r="F16" s="2" t="b">
        <f t="shared" si="2"/>
        <v>1</v>
      </c>
      <c r="G16" s="2" t="b">
        <f t="shared" si="3"/>
        <v>1</v>
      </c>
      <c r="I16" s="9" t="s">
        <v>37</v>
      </c>
      <c r="J16" s="50">
        <f>AVERAGEIF(G:G,TRUE,B:B)</f>
        <v>410.934691333333</v>
      </c>
    </row>
    <row r="17" s="2" customFormat="1" ht="14.15" customHeight="1" spans="1:10">
      <c r="A17" s="1" t="s">
        <v>47</v>
      </c>
      <c r="B17" s="48">
        <v>414.149879</v>
      </c>
      <c r="C17" s="44">
        <f t="shared" si="0"/>
        <v>91.331</v>
      </c>
      <c r="D17" s="7">
        <f t="shared" si="1"/>
        <v>16</v>
      </c>
      <c r="F17" s="2" t="b">
        <f t="shared" si="2"/>
        <v>1</v>
      </c>
      <c r="G17" s="2" t="b">
        <f t="shared" si="3"/>
        <v>1</v>
      </c>
      <c r="I17" s="9" t="s">
        <v>88</v>
      </c>
      <c r="J17" s="50">
        <f t="array" ref="J17">MIN(IF(G2:G27=TRUE,B2:B27))</f>
        <v>351.288</v>
      </c>
    </row>
    <row r="18" s="2" customFormat="1" spans="1:10">
      <c r="A18" s="1" t="s">
        <v>18</v>
      </c>
      <c r="B18" s="48">
        <v>414.5857</v>
      </c>
      <c r="C18" s="44">
        <f t="shared" si="0"/>
        <v>91.2166</v>
      </c>
      <c r="D18" s="7">
        <f t="shared" si="1"/>
        <v>17</v>
      </c>
      <c r="F18" s="2" t="b">
        <f t="shared" si="2"/>
        <v>1</v>
      </c>
      <c r="G18" s="2" t="b">
        <f t="shared" si="3"/>
        <v>1</v>
      </c>
      <c r="I18" s="9" t="s">
        <v>89</v>
      </c>
      <c r="J18" s="50">
        <f>IF(COUNTIF(G:G,TRUE)=0,AVERAGE(B:B),(J16+J17)/2)</f>
        <v>381.111345666667</v>
      </c>
    </row>
    <row r="19" s="2" customFormat="1" spans="1:10">
      <c r="A19" s="1" t="s">
        <v>16</v>
      </c>
      <c r="B19" s="48">
        <v>415.3654</v>
      </c>
      <c r="C19" s="44">
        <f t="shared" si="0"/>
        <v>91.0121</v>
      </c>
      <c r="D19" s="7">
        <f t="shared" si="1"/>
        <v>18</v>
      </c>
      <c r="F19" s="2" t="b">
        <f t="shared" si="2"/>
        <v>1</v>
      </c>
      <c r="G19" s="2" t="b">
        <f t="shared" si="3"/>
        <v>1</v>
      </c>
      <c r="I19" s="15" t="s">
        <v>41</v>
      </c>
      <c r="J19" s="42">
        <f>J18/J7</f>
        <v>0.755873355150073</v>
      </c>
    </row>
    <row r="20" s="2" customFormat="1" spans="1:10">
      <c r="A20" s="1" t="s">
        <v>49</v>
      </c>
      <c r="B20" s="48">
        <v>415.77333</v>
      </c>
      <c r="C20" s="44">
        <f t="shared" si="0"/>
        <v>90.905</v>
      </c>
      <c r="D20" s="7">
        <f t="shared" si="1"/>
        <v>19</v>
      </c>
      <c r="F20" s="2" t="b">
        <f t="shared" si="2"/>
        <v>1</v>
      </c>
      <c r="G20" s="2" t="b">
        <f t="shared" si="3"/>
        <v>1</v>
      </c>
    </row>
    <row r="21" s="2" customFormat="1" spans="1:10">
      <c r="A21" s="1" t="s">
        <v>14</v>
      </c>
      <c r="B21" s="48">
        <v>415.9643</v>
      </c>
      <c r="C21" s="44">
        <f t="shared" si="0"/>
        <v>90.8549</v>
      </c>
      <c r="D21" s="7">
        <f t="shared" si="1"/>
        <v>20</v>
      </c>
      <c r="F21" s="2" t="b">
        <f t="shared" si="2"/>
        <v>1</v>
      </c>
      <c r="G21" s="2" t="b">
        <f t="shared" si="3"/>
        <v>1</v>
      </c>
      <c r="I21" s="4" t="s">
        <v>44</v>
      </c>
    </row>
    <row r="22" s="2" customFormat="1" spans="1:10">
      <c r="A22" s="1" t="s">
        <v>12</v>
      </c>
      <c r="B22" s="48">
        <v>415.965001</v>
      </c>
      <c r="C22" s="44">
        <f t="shared" si="0"/>
        <v>90.8547</v>
      </c>
      <c r="D22" s="7">
        <f t="shared" si="1"/>
        <v>21</v>
      </c>
      <c r="F22" s="2" t="b">
        <f t="shared" si="2"/>
        <v>1</v>
      </c>
      <c r="G22" s="2" t="b">
        <f t="shared" si="3"/>
        <v>1</v>
      </c>
      <c r="I22" s="17" t="s">
        <v>46</v>
      </c>
      <c r="J22" s="18" t="str">
        <f>IFERROR(VLOOKUP(I22,B:D,3,0),"")</f>
        <v/>
      </c>
    </row>
    <row r="23" s="2" customFormat="1" spans="1:10">
      <c r="A23" s="1" t="s">
        <v>51</v>
      </c>
      <c r="B23" s="48">
        <v>415.965001</v>
      </c>
      <c r="C23" s="44">
        <f t="shared" si="0"/>
        <v>90.8547</v>
      </c>
      <c r="D23" s="7">
        <f t="shared" si="1"/>
        <v>21</v>
      </c>
      <c r="F23" s="2" t="b">
        <f t="shared" si="2"/>
        <v>1</v>
      </c>
      <c r="G23" s="2" t="b">
        <f t="shared" si="3"/>
        <v>1</v>
      </c>
      <c r="I23" s="9" t="s">
        <v>48</v>
      </c>
      <c r="J23" s="9" t="str">
        <f>IFERROR(VLOOKUP(I$22,A:C,3,0),"")</f>
        <v/>
      </c>
    </row>
    <row r="24" s="2" customFormat="1" spans="1:10">
      <c r="A24" s="1" t="s">
        <v>10</v>
      </c>
      <c r="B24" s="48">
        <v>417.309</v>
      </c>
      <c r="C24" s="44">
        <f t="shared" si="0"/>
        <v>90.5021</v>
      </c>
      <c r="D24" s="7">
        <f t="shared" si="1"/>
        <v>23</v>
      </c>
      <c r="F24" s="2" t="b">
        <f t="shared" si="2"/>
        <v>1</v>
      </c>
      <c r="G24" s="2" t="b">
        <f t="shared" si="3"/>
        <v>1</v>
      </c>
      <c r="I24" s="15" t="s">
        <v>50</v>
      </c>
      <c r="J24" s="15" t="str">
        <f>IFERROR(VLOOKUP(I$22,A:D,4,0),"")</f>
        <v/>
      </c>
    </row>
    <row r="25" s="2" customFormat="1" spans="1:10">
      <c r="A25" s="1" t="s">
        <v>53</v>
      </c>
      <c r="B25" s="48">
        <v>417.312051</v>
      </c>
      <c r="C25" s="44">
        <f t="shared" si="0"/>
        <v>90.5013</v>
      </c>
      <c r="D25" s="7">
        <f t="shared" si="1"/>
        <v>24</v>
      </c>
      <c r="F25" s="2" t="b">
        <f t="shared" si="2"/>
        <v>1</v>
      </c>
      <c r="G25" s="2" t="b">
        <f t="shared" si="3"/>
        <v>1</v>
      </c>
      <c r="I25" s="9" t="s">
        <v>52</v>
      </c>
      <c r="J25" s="20">
        <f t="array" ref="J25">MAX(C:C)</f>
        <v>99.4541</v>
      </c>
    </row>
    <row r="26" s="2" customFormat="1" spans="1:10">
      <c r="A26" s="1" t="s">
        <v>55</v>
      </c>
      <c r="B26" s="48">
        <v>417.78012</v>
      </c>
      <c r="C26" s="44">
        <f t="shared" si="0"/>
        <v>90.3785</v>
      </c>
      <c r="D26" s="7">
        <f t="shared" si="1"/>
        <v>25</v>
      </c>
      <c r="F26" s="2" t="b">
        <f t="shared" si="2"/>
        <v>1</v>
      </c>
      <c r="G26" s="2" t="b">
        <f t="shared" si="3"/>
        <v>1</v>
      </c>
      <c r="I26" s="9" t="s">
        <v>54</v>
      </c>
      <c r="J26" s="9" t="str">
        <f>IFERROR(J25-J23,"")</f>
        <v/>
      </c>
    </row>
    <row r="27" s="2" customFormat="1" spans="1:10">
      <c r="A27" s="1" t="s">
        <v>80</v>
      </c>
      <c r="B27" s="48">
        <v>418.486</v>
      </c>
      <c r="C27" s="44">
        <f t="shared" si="0"/>
        <v>90.1932</v>
      </c>
      <c r="D27" s="7">
        <f t="shared" si="1"/>
        <v>26</v>
      </c>
      <c r="F27" s="2" t="b">
        <f t="shared" si="2"/>
        <v>1</v>
      </c>
      <c r="G27" s="2" t="b">
        <f t="shared" si="3"/>
        <v>1</v>
      </c>
      <c r="I27" s="15" t="s">
        <v>57</v>
      </c>
      <c r="J27" s="15" t="str">
        <f>IFERROR(J26*J8,"")</f>
        <v/>
      </c>
    </row>
    <row r="28" s="2" customFormat="1" spans="1:10">
      <c r="A28" s="1" t="s">
        <v>62</v>
      </c>
      <c r="B28" s="48">
        <v>424.889266</v>
      </c>
      <c r="C28" s="44">
        <f t="shared" ref="C28:C43" si="4">IF(B28="不开标",0,ROUND(IF(B28,MAX(0,100-100*J$6*IF(B28&gt;=$J$18,J$4,J$5)*ABS(B28-$J$18)/$J$18),""),4))</f>
        <v>88.5131</v>
      </c>
      <c r="D28" s="7">
        <f t="shared" ref="D28:D43" si="5">IF(B28="不开标","",_xlfn.RANK.EQ(C28,C:C,0))</f>
        <v>27</v>
      </c>
      <c r="F28" s="2" t="b">
        <f t="shared" ref="F28:F43" si="6">IF(B28="不开标",FALSE,IF($J$12&lt;10,TRUE,IF(AND($J$12&gt;=10,$J$12&lt;=20),NOT(OR(RANK(B28,$B$2:$B$78,0)=1,RANK(B28,$B$2:$B$78,1)=1)),IF(AND($J$12&gt;=20,$J$12&lt;30),NOT(OR(RANK(B28,$B$2:$B$78,0)&lt;=2,RANK(B28,$B$2:$B$78,1)=1)),IF($J$12&gt;=30,NOT(OR(RANK(B28,$B$2:$B$78,0)&lt;=3,RANK(B28,$B$2:$B$78,1)&lt;=2)))))))</f>
        <v>1</v>
      </c>
      <c r="G28" s="2" t="b">
        <f t="shared" ref="G28:G43" si="7">IF(F28=TRUE,IF(AND(B28&gt;=J$14,B28&lt;=J$15),TRUE,FALSE),FALSE)</f>
        <v>1</v>
      </c>
    </row>
    <row r="29" s="2" customFormat="1" spans="1:10">
      <c r="A29" s="1" t="s">
        <v>58</v>
      </c>
      <c r="B29" s="48">
        <v>424.939761</v>
      </c>
      <c r="C29" s="44">
        <f t="shared" si="4"/>
        <v>88.4998</v>
      </c>
      <c r="D29" s="7">
        <f t="shared" si="5"/>
        <v>28</v>
      </c>
      <c r="F29" s="2" t="b">
        <f t="shared" si="6"/>
        <v>1</v>
      </c>
      <c r="G29" s="2" t="b">
        <f t="shared" si="7"/>
        <v>1</v>
      </c>
    </row>
    <row r="30" s="2" customFormat="1" ht="13.3" customHeight="1" spans="1:10">
      <c r="A30" s="1" t="s">
        <v>90</v>
      </c>
      <c r="B30" s="48">
        <v>427.813367</v>
      </c>
      <c r="C30" s="44">
        <f t="shared" si="4"/>
        <v>87.7458</v>
      </c>
      <c r="D30" s="7">
        <f t="shared" si="5"/>
        <v>29</v>
      </c>
      <c r="F30" s="2" t="b">
        <f t="shared" si="6"/>
        <v>1</v>
      </c>
      <c r="G30" s="2" t="b">
        <f t="shared" si="7"/>
        <v>1</v>
      </c>
    </row>
    <row r="31" s="2" customFormat="1" spans="1:10">
      <c r="A31" s="1" t="s">
        <v>64</v>
      </c>
      <c r="B31" s="48">
        <v>428.496</v>
      </c>
      <c r="C31" s="44">
        <f t="shared" si="4"/>
        <v>87.5667</v>
      </c>
      <c r="D31" s="7">
        <f t="shared" si="5"/>
        <v>30</v>
      </c>
      <c r="F31" s="2" t="b">
        <f t="shared" si="6"/>
        <v>1</v>
      </c>
      <c r="G31" s="2" t="b">
        <f t="shared" si="7"/>
        <v>1</v>
      </c>
    </row>
    <row r="32" s="2" customFormat="1" spans="1:10">
      <c r="A32" s="1" t="s">
        <v>91</v>
      </c>
      <c r="B32" s="48">
        <v>428.57</v>
      </c>
      <c r="C32" s="44">
        <f t="shared" si="4"/>
        <v>87.5473</v>
      </c>
      <c r="D32" s="7">
        <f t="shared" si="5"/>
        <v>31</v>
      </c>
      <c r="F32" s="2" t="b">
        <f t="shared" si="6"/>
        <v>1</v>
      </c>
      <c r="G32" s="2" t="b">
        <f t="shared" si="7"/>
        <v>1</v>
      </c>
    </row>
    <row r="33" s="2" customFormat="1" spans="1:7">
      <c r="A33" s="1" t="s">
        <v>92</v>
      </c>
      <c r="B33" s="48">
        <v>429.074201</v>
      </c>
      <c r="C33" s="44">
        <f t="shared" si="4"/>
        <v>87.415</v>
      </c>
      <c r="D33" s="7">
        <f t="shared" si="5"/>
        <v>32</v>
      </c>
      <c r="F33" s="2" t="b">
        <f t="shared" si="6"/>
        <v>1</v>
      </c>
      <c r="G33" s="2" t="b">
        <f t="shared" si="7"/>
        <v>1</v>
      </c>
    </row>
    <row r="34" s="2" customFormat="1" spans="1:7">
      <c r="A34" s="1" t="s">
        <v>93</v>
      </c>
      <c r="B34" s="48">
        <v>429.5784</v>
      </c>
      <c r="C34" s="44">
        <f t="shared" si="4"/>
        <v>87.2827</v>
      </c>
      <c r="D34" s="7">
        <f t="shared" si="5"/>
        <v>33</v>
      </c>
      <c r="F34" s="2" t="b">
        <f t="shared" si="6"/>
        <v>1</v>
      </c>
      <c r="G34" s="2" t="b">
        <f t="shared" si="7"/>
        <v>1</v>
      </c>
    </row>
    <row r="35" s="2" customFormat="1" spans="1:7">
      <c r="A35" s="1" t="s">
        <v>94</v>
      </c>
      <c r="B35" s="48">
        <v>430.586802</v>
      </c>
      <c r="C35" s="44">
        <f t="shared" si="4"/>
        <v>87.0181</v>
      </c>
      <c r="D35" s="7">
        <f t="shared" si="5"/>
        <v>34</v>
      </c>
      <c r="F35" s="2" t="b">
        <f t="shared" si="6"/>
        <v>1</v>
      </c>
      <c r="G35" s="2" t="b">
        <f t="shared" si="7"/>
        <v>1</v>
      </c>
    </row>
    <row r="36" s="2" customFormat="1" spans="1:7">
      <c r="A36" s="1" t="s">
        <v>95</v>
      </c>
      <c r="B36" s="48">
        <v>431.091</v>
      </c>
      <c r="C36" s="44">
        <f t="shared" si="4"/>
        <v>86.8858</v>
      </c>
      <c r="D36" s="7">
        <f t="shared" si="5"/>
        <v>35</v>
      </c>
      <c r="F36" s="2" t="b">
        <f t="shared" si="6"/>
        <v>1</v>
      </c>
      <c r="G36" s="2" t="b">
        <f t="shared" si="7"/>
        <v>1</v>
      </c>
    </row>
    <row r="37" s="2" customFormat="1" spans="1:7">
      <c r="A37" s="1" t="s">
        <v>96</v>
      </c>
      <c r="B37" s="48">
        <v>431.091</v>
      </c>
      <c r="C37" s="44">
        <f t="shared" si="4"/>
        <v>86.8858</v>
      </c>
      <c r="D37" s="7">
        <f t="shared" si="5"/>
        <v>35</v>
      </c>
      <c r="F37" s="2" t="b">
        <f t="shared" si="6"/>
        <v>1</v>
      </c>
      <c r="G37" s="2" t="b">
        <f t="shared" si="7"/>
        <v>1</v>
      </c>
    </row>
    <row r="38" s="2" customFormat="1" spans="1:7">
      <c r="A38" s="1" t="s">
        <v>97</v>
      </c>
      <c r="B38" s="48">
        <v>433.107756</v>
      </c>
      <c r="C38" s="44">
        <f t="shared" si="4"/>
        <v>86.3566</v>
      </c>
      <c r="D38" s="7">
        <f t="shared" si="5"/>
        <v>37</v>
      </c>
      <c r="F38" s="2" t="b">
        <f t="shared" si="6"/>
        <v>1</v>
      </c>
      <c r="G38" s="2" t="b">
        <f t="shared" si="7"/>
        <v>1</v>
      </c>
    </row>
    <row r="39" s="2" customFormat="1" spans="1:7">
      <c r="A39" s="1" t="s">
        <v>98</v>
      </c>
      <c r="B39" s="48">
        <v>433.612</v>
      </c>
      <c r="C39" s="44">
        <f t="shared" si="4"/>
        <v>86.2243</v>
      </c>
      <c r="D39" s="7">
        <f t="shared" si="5"/>
        <v>38</v>
      </c>
      <c r="F39" s="2" t="b">
        <f t="shared" si="6"/>
        <v>1</v>
      </c>
      <c r="G39" s="2" t="b">
        <f t="shared" si="7"/>
        <v>1</v>
      </c>
    </row>
    <row r="40" s="2" customFormat="1" spans="1:7">
      <c r="A40" s="1" t="s">
        <v>99</v>
      </c>
      <c r="B40" s="48">
        <v>437.544759</v>
      </c>
      <c r="C40" s="44">
        <f t="shared" si="4"/>
        <v>85.1924</v>
      </c>
      <c r="D40" s="7">
        <f t="shared" si="5"/>
        <v>39</v>
      </c>
      <c r="F40" s="2" t="b">
        <f t="shared" si="6"/>
        <v>0</v>
      </c>
      <c r="G40" s="2" t="b">
        <f t="shared" si="7"/>
        <v>0</v>
      </c>
    </row>
    <row r="41" s="2" customFormat="1" spans="1:7">
      <c r="A41" s="1" t="s">
        <v>100</v>
      </c>
      <c r="B41" s="48">
        <v>443.6945</v>
      </c>
      <c r="C41" s="44">
        <f t="shared" si="4"/>
        <v>83.5788</v>
      </c>
      <c r="D41" s="7">
        <f t="shared" si="5"/>
        <v>40</v>
      </c>
      <c r="F41" s="2" t="b">
        <f t="shared" si="6"/>
        <v>0</v>
      </c>
      <c r="G41" s="2" t="b">
        <f t="shared" si="7"/>
        <v>0</v>
      </c>
    </row>
    <row r="42" s="2" customFormat="1" spans="1:7">
      <c r="A42" s="1" t="s">
        <v>101</v>
      </c>
      <c r="B42" s="48">
        <v>453.779997</v>
      </c>
      <c r="C42" s="44">
        <f t="shared" si="4"/>
        <v>80.9324</v>
      </c>
      <c r="D42" s="7">
        <f t="shared" si="5"/>
        <v>41</v>
      </c>
      <c r="F42" s="2" t="b">
        <f t="shared" si="6"/>
        <v>0</v>
      </c>
      <c r="G42" s="2" t="b">
        <f t="shared" si="7"/>
        <v>0</v>
      </c>
    </row>
    <row r="43" s="2" customFormat="1" spans="1:7">
      <c r="A43" s="1" t="s">
        <v>102</v>
      </c>
      <c r="B43" s="48" t="s">
        <v>56</v>
      </c>
      <c r="C43" s="44">
        <f t="shared" si="4"/>
        <v>0</v>
      </c>
      <c r="D43" s="7" t="str">
        <f t="shared" si="5"/>
        <v/>
      </c>
      <c r="F43" s="2" t="b">
        <f t="shared" si="6"/>
        <v>0</v>
      </c>
      <c r="G43" s="2" t="b">
        <f t="shared" si="7"/>
        <v>0</v>
      </c>
    </row>
    <row r="44" s="2" customFormat="1" spans="1:7">
      <c r="A44" s="51"/>
      <c r="B44" s="43"/>
      <c r="C44" s="44"/>
      <c r="D44" s="7"/>
    </row>
  </sheetData>
  <autoFilter xmlns:etc="http://www.wps.cn/officeDocument/2017/etCustomData" ref="A1:E48" etc:filterBottomFollowUsedRange="0">
    <extLst/>
  </autoFilter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98" zoomScaleNormal="98" workbookViewId="0">
      <pane ySplit="1" topLeftCell="A2" activePane="bottomLeft" state="frozen"/>
      <selection/>
      <selection pane="bottomLeft" activeCell="H17" sqref="H17"/>
    </sheetView>
  </sheetViews>
  <sheetFormatPr defaultColWidth="9.84545454545455" defaultRowHeight="14"/>
  <cols>
    <col min="1" max="1" width="11.4636363636364" style="1" customWidth="1"/>
    <col min="2" max="2" width="11.9181818181818" style="1" customWidth="1"/>
    <col min="3" max="3" width="10.7636363636364" style="2" customWidth="1"/>
    <col min="4" max="4" width="9.84545454545455" style="2"/>
    <col min="5" max="5" width="11.9181818181818" style="2" customWidth="1"/>
    <col min="6" max="6" width="5.22727272727273" style="2" customWidth="1"/>
    <col min="7" max="7" width="29.8454545454545" style="2" customWidth="1"/>
    <col min="8" max="8" width="14" style="2" customWidth="1"/>
    <col min="9" max="16384" width="9.84545454545455" style="2"/>
  </cols>
  <sheetData>
    <row r="1" ht="14.15" customHeight="1" spans="1:10">
      <c r="A1" s="3" t="s">
        <v>81</v>
      </c>
      <c r="B1" s="3" t="s">
        <v>103</v>
      </c>
      <c r="C1" s="3" t="s">
        <v>5</v>
      </c>
      <c r="D1" s="3" t="s">
        <v>6</v>
      </c>
      <c r="E1" s="3" t="s">
        <v>104</v>
      </c>
      <c r="G1" s="4" t="s">
        <v>9</v>
      </c>
      <c r="I1" s="32"/>
      <c r="J1" s="32"/>
    </row>
    <row r="2" spans="1:10">
      <c r="A2" s="1" t="s">
        <v>36</v>
      </c>
      <c r="B2" s="33">
        <v>35.675</v>
      </c>
      <c r="C2" s="34">
        <f>IF(B2="不开标",0,ROUND(100-100*IF(B2&gt;=H$17,H$4,H$5)*ABS(B2-H$17)/H$17,4))</f>
        <v>99.2346</v>
      </c>
      <c r="D2" s="7">
        <f>IF(B2="不开标","",_xlfn.RANK.EQ(C2,C:C,0))</f>
        <v>1</v>
      </c>
      <c r="E2" s="2" t="b">
        <f>IF(B2="不开标",FALSE,IF(AND(B2&lt;H$14,B2&gt;H$15),FALSE,TRUE))</f>
        <v>1</v>
      </c>
      <c r="G2" s="9" t="s">
        <v>11</v>
      </c>
      <c r="H2" s="29">
        <v>-0.2</v>
      </c>
      <c r="I2" s="32"/>
      <c r="J2" s="32"/>
    </row>
    <row r="3" spans="1:10">
      <c r="A3" s="1" t="s">
        <v>43</v>
      </c>
      <c r="B3" s="33">
        <v>35.2345</v>
      </c>
      <c r="C3" s="34">
        <f t="shared" ref="C3:C12" si="0">IF(B3="不开标",0,ROUND(100-100*IF(B3&gt;=H$17,H$4,H$5)*ABS(B3-H$17)/H$17,4))</f>
        <v>98.6267</v>
      </c>
      <c r="D3" s="7">
        <f t="shared" ref="D3:D12" si="1">IF(B3="不开标","",_xlfn.RANK.EQ(C3,C:C,0))</f>
        <v>2</v>
      </c>
      <c r="E3" s="2" t="b">
        <f t="shared" ref="E3:E12" si="2">IF(B3="不开标",FALSE,IF(AND(B3&lt;H$14,B3&gt;H$15),FALSE,TRUE))</f>
        <v>1</v>
      </c>
      <c r="G3" s="9" t="s">
        <v>13</v>
      </c>
      <c r="H3" s="29">
        <v>0.15</v>
      </c>
      <c r="I3" s="32"/>
      <c r="J3" s="32"/>
    </row>
    <row r="4" spans="1:10">
      <c r="A4" s="1" t="s">
        <v>34</v>
      </c>
      <c r="B4" s="33">
        <v>35</v>
      </c>
      <c r="C4" s="34">
        <f t="shared" si="0"/>
        <v>98.303</v>
      </c>
      <c r="D4" s="7">
        <f t="shared" si="1"/>
        <v>3</v>
      </c>
      <c r="E4" s="2" t="b">
        <f t="shared" si="2"/>
        <v>1</v>
      </c>
      <c r="G4" s="9" t="s">
        <v>15</v>
      </c>
      <c r="H4" s="23">
        <v>1</v>
      </c>
      <c r="I4" s="32"/>
      <c r="J4" s="32"/>
    </row>
    <row r="5" spans="1:10">
      <c r="A5" s="1" t="s">
        <v>42</v>
      </c>
      <c r="B5" s="33">
        <v>34.989</v>
      </c>
      <c r="C5" s="34">
        <f t="shared" si="0"/>
        <v>98.2878</v>
      </c>
      <c r="D5" s="7">
        <f t="shared" si="1"/>
        <v>4</v>
      </c>
      <c r="E5" s="2" t="b">
        <f t="shared" si="2"/>
        <v>1</v>
      </c>
      <c r="G5" s="9" t="s">
        <v>17</v>
      </c>
      <c r="H5" s="23">
        <v>0.5</v>
      </c>
      <c r="I5" s="32"/>
      <c r="J5" s="32"/>
    </row>
    <row r="6" spans="1:10">
      <c r="A6" s="1" t="s">
        <v>38</v>
      </c>
      <c r="B6" s="33">
        <v>36.8745</v>
      </c>
      <c r="C6" s="34">
        <f t="shared" si="0"/>
        <v>98.22</v>
      </c>
      <c r="D6" s="7">
        <f t="shared" si="1"/>
        <v>5</v>
      </c>
      <c r="E6" s="2" t="b">
        <f t="shared" si="2"/>
        <v>1</v>
      </c>
      <c r="G6" s="9" t="s">
        <v>19</v>
      </c>
      <c r="H6" s="30">
        <v>0</v>
      </c>
      <c r="I6" s="32"/>
      <c r="J6" s="32"/>
    </row>
    <row r="7" spans="1:10">
      <c r="A7" s="1" t="s">
        <v>32</v>
      </c>
      <c r="B7" s="33">
        <v>37</v>
      </c>
      <c r="C7" s="34">
        <f t="shared" si="0"/>
        <v>97.8736</v>
      </c>
      <c r="D7" s="7">
        <f t="shared" si="1"/>
        <v>6</v>
      </c>
      <c r="E7" s="2" t="b">
        <f t="shared" si="2"/>
        <v>1</v>
      </c>
      <c r="G7" s="9" t="s">
        <v>21</v>
      </c>
      <c r="H7" s="35">
        <v>37.65</v>
      </c>
      <c r="I7" s="32"/>
      <c r="J7" s="32"/>
    </row>
    <row r="8" spans="1:10">
      <c r="A8" s="1" t="s">
        <v>40</v>
      </c>
      <c r="B8" s="33">
        <v>37</v>
      </c>
      <c r="C8" s="34">
        <f t="shared" si="0"/>
        <v>97.8736</v>
      </c>
      <c r="D8" s="7">
        <f t="shared" si="1"/>
        <v>6</v>
      </c>
      <c r="E8" s="2" t="b">
        <f t="shared" si="2"/>
        <v>1</v>
      </c>
      <c r="G8" s="9" t="s">
        <v>23</v>
      </c>
      <c r="H8" s="36">
        <v>0.3</v>
      </c>
      <c r="I8" s="32"/>
      <c r="J8" s="32"/>
    </row>
    <row r="9" spans="1:10">
      <c r="A9" s="1" t="s">
        <v>45</v>
      </c>
      <c r="B9" s="33">
        <v>33.9878</v>
      </c>
      <c r="C9" s="34">
        <f t="shared" si="0"/>
        <v>96.9061</v>
      </c>
      <c r="D9" s="7">
        <f t="shared" si="1"/>
        <v>8</v>
      </c>
      <c r="E9" s="2" t="b">
        <f t="shared" si="2"/>
        <v>1</v>
      </c>
      <c r="I9" s="32"/>
      <c r="J9" s="32"/>
    </row>
    <row r="10" spans="1:10">
      <c r="A10" s="1" t="s">
        <v>28</v>
      </c>
      <c r="B10" s="33">
        <v>37.5</v>
      </c>
      <c r="C10" s="34">
        <f t="shared" si="0"/>
        <v>96.4935</v>
      </c>
      <c r="D10" s="7">
        <f t="shared" si="1"/>
        <v>9</v>
      </c>
      <c r="E10" s="2" t="b">
        <f t="shared" si="2"/>
        <v>1</v>
      </c>
      <c r="I10" s="32"/>
      <c r="J10" s="32"/>
    </row>
    <row r="11" spans="1:10">
      <c r="A11" s="1" t="s">
        <v>30</v>
      </c>
      <c r="B11" s="33">
        <v>37.615</v>
      </c>
      <c r="C11" s="34">
        <f t="shared" si="0"/>
        <v>96.1761</v>
      </c>
      <c r="D11" s="7">
        <f t="shared" si="1"/>
        <v>10</v>
      </c>
      <c r="E11" s="2" t="b">
        <f t="shared" si="2"/>
        <v>1</v>
      </c>
      <c r="G11" s="4" t="s">
        <v>27</v>
      </c>
      <c r="I11" s="32"/>
      <c r="J11" s="32"/>
    </row>
    <row r="12" spans="1:10">
      <c r="A12" s="1" t="s">
        <v>26</v>
      </c>
      <c r="B12" s="33">
        <v>37.65</v>
      </c>
      <c r="C12" s="34">
        <f t="shared" si="0"/>
        <v>96.0795</v>
      </c>
      <c r="D12" s="7">
        <f t="shared" si="1"/>
        <v>11</v>
      </c>
      <c r="E12" s="2" t="b">
        <f t="shared" si="2"/>
        <v>1</v>
      </c>
      <c r="G12" s="9" t="s">
        <v>29</v>
      </c>
      <c r="H12" s="37">
        <f>COUNTA(B:B)-1</f>
        <v>11</v>
      </c>
    </row>
    <row r="13" spans="1:10">
      <c r="B13" s="33"/>
      <c r="C13" s="38"/>
      <c r="D13" s="7"/>
      <c r="G13" s="9" t="s">
        <v>31</v>
      </c>
      <c r="H13" s="39">
        <f>AVERAGEIF(B:B,"&lt;&gt;")</f>
        <v>36.2296181818182</v>
      </c>
    </row>
    <row r="14" spans="1:10">
      <c r="B14" s="33"/>
      <c r="C14" s="38"/>
      <c r="D14" s="7"/>
      <c r="G14" s="9" t="s">
        <v>33</v>
      </c>
      <c r="H14" s="40">
        <f>H$13*(1+H2)</f>
        <v>28.9836945454545</v>
      </c>
    </row>
    <row r="15" spans="1:10">
      <c r="B15" s="33"/>
      <c r="C15" s="38"/>
      <c r="D15" s="7"/>
      <c r="G15" s="9" t="s">
        <v>35</v>
      </c>
      <c r="H15" s="40">
        <f>H$13*(1+H3)</f>
        <v>41.6640609090909</v>
      </c>
    </row>
    <row r="16" spans="1:10">
      <c r="B16" s="33"/>
      <c r="D16" s="7"/>
      <c r="G16" s="9" t="s">
        <v>37</v>
      </c>
      <c r="H16" s="40">
        <f>AVERAGEIF(E:E,TRUE,B:B)</f>
        <v>36.2296181818182</v>
      </c>
    </row>
    <row r="17" spans="7:8">
      <c r="G17" s="9" t="s">
        <v>39</v>
      </c>
      <c r="H17" s="41">
        <f>H16*(1+H6)</f>
        <v>36.2296181818182</v>
      </c>
    </row>
    <row r="18" spans="7:8">
      <c r="G18" s="15" t="s">
        <v>41</v>
      </c>
      <c r="H18" s="42">
        <f>H17/H7</f>
        <v>0.962274055293976</v>
      </c>
    </row>
    <row r="20" spans="7:8">
      <c r="G20" s="4" t="s">
        <v>44</v>
      </c>
    </row>
    <row r="21" spans="7:8">
      <c r="G21" s="17" t="s">
        <v>46</v>
      </c>
      <c r="H21" s="18" t="str">
        <f>IFERROR(VLOOKUP(G21,F:F,3,0),"")</f>
        <v/>
      </c>
    </row>
    <row r="22" spans="7:8">
      <c r="G22" s="9" t="s">
        <v>48</v>
      </c>
      <c r="H22" s="9" t="str">
        <f>IFERROR(VLOOKUP(G$21,A:C,3,0),"")</f>
        <v/>
      </c>
    </row>
    <row r="23" spans="7:8">
      <c r="G23" s="15" t="s">
        <v>50</v>
      </c>
      <c r="H23" s="15" t="str">
        <f>IFERROR(VLOOKUP(G$21,A:D,4,0),"")</f>
        <v/>
      </c>
    </row>
    <row r="24" spans="7:8">
      <c r="G24" s="9" t="s">
        <v>52</v>
      </c>
      <c r="H24" s="20">
        <f t="array" ref="H24">MAX(C:C)</f>
        <v>99.2346</v>
      </c>
    </row>
    <row r="25" spans="7:8">
      <c r="G25" s="9" t="s">
        <v>54</v>
      </c>
      <c r="H25" s="9" t="str">
        <f>IFERROR(H24-H22,"")</f>
        <v/>
      </c>
    </row>
    <row r="26" spans="7:8">
      <c r="G26" s="15" t="s">
        <v>57</v>
      </c>
      <c r="H26" s="15" t="str">
        <f>IFERROR(H25*H8,"")</f>
        <v/>
      </c>
    </row>
  </sheetData>
  <autoFilter xmlns:etc="http://www.wps.cn/officeDocument/2017/etCustomData" ref="A1:E12" etc:filterBottomFollowUsedRange="0">
    <extLst/>
  </autoFilter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ySplit="25" topLeftCell="A26" activePane="bottomLeft" state="frozen"/>
      <selection/>
      <selection pane="bottomLeft" activeCell="H16" sqref="H16"/>
    </sheetView>
  </sheetViews>
  <sheetFormatPr defaultColWidth="9.84545454545455" defaultRowHeight="14" outlineLevelCol="7"/>
  <cols>
    <col min="1" max="1" width="19.6090909090909" style="1" customWidth="1"/>
    <col min="2" max="2" width="16" style="1" customWidth="1"/>
    <col min="3" max="3" width="16" style="2" customWidth="1"/>
    <col min="4" max="4" width="10" style="7"/>
    <col min="5" max="5" width="9.84545454545455" style="2"/>
    <col min="6" max="6" width="10.6090909090909" style="2"/>
    <col min="7" max="7" width="23.5363636363636" style="2" customWidth="1"/>
    <col min="8" max="8" width="22.9181818181818" style="2" customWidth="1"/>
    <col min="9" max="9" width="4" style="2" customWidth="1"/>
    <col min="10" max="16384" width="9.84545454545455" style="2"/>
  </cols>
  <sheetData>
    <row r="1" ht="14.15" customHeight="1" spans="1:8">
      <c r="A1" s="3" t="s">
        <v>81</v>
      </c>
      <c r="B1" s="3" t="s">
        <v>103</v>
      </c>
      <c r="C1" s="3" t="s">
        <v>105</v>
      </c>
      <c r="D1" s="3" t="s">
        <v>6</v>
      </c>
      <c r="E1" s="3" t="s">
        <v>106</v>
      </c>
      <c r="F1" s="3"/>
      <c r="G1" s="4" t="s">
        <v>9</v>
      </c>
    </row>
    <row r="2" spans="1:8">
      <c r="A2" s="1" t="s">
        <v>22</v>
      </c>
      <c r="B2" s="26">
        <v>774.705513</v>
      </c>
      <c r="C2" s="27">
        <f>IF(B2="不开标",0,ROUND(100-100*IF(B2&gt;=H$16,H$4,H$5)*ABS(B2-H$16)/H$16,4))</f>
        <v>99.9783</v>
      </c>
      <c r="D2" s="7">
        <f>IF(B2="不开标","",_xlfn.RANK.EQ(C2,C:C,0))</f>
        <v>1</v>
      </c>
      <c r="E2" s="2" t="b">
        <f t="shared" ref="E2:E35" si="0">IF(B2="不开标",FALSE,IF(AND(B2&gt;H$13,B2&lt;H$14),TRUE,FALSE))</f>
        <v>1</v>
      </c>
      <c r="F2" s="28"/>
      <c r="G2" s="9" t="s">
        <v>107</v>
      </c>
      <c r="H2" s="29">
        <v>-0.2</v>
      </c>
    </row>
    <row r="3" spans="1:8">
      <c r="A3" s="1" t="s">
        <v>20</v>
      </c>
      <c r="B3" s="26">
        <v>774.683239</v>
      </c>
      <c r="C3" s="27">
        <f t="shared" ref="C3:C35" si="1">IF(B3="不开标",0,ROUND(100-100*IF(B3&gt;=H$16,H$4,H$5)*ABS(B3-H$16)/H$16,4))</f>
        <v>99.9768</v>
      </c>
      <c r="D3" s="7">
        <f t="shared" ref="D3:D35" si="2">IF(B3="不开标","",_xlfn.RANK.EQ(C3,C:C,0))</f>
        <v>2</v>
      </c>
      <c r="E3" s="2" t="b">
        <f t="shared" si="0"/>
        <v>1</v>
      </c>
      <c r="F3" s="28"/>
      <c r="G3" s="9" t="s">
        <v>108</v>
      </c>
      <c r="H3" s="29">
        <v>0.15</v>
      </c>
    </row>
    <row r="4" spans="1:8">
      <c r="A4" s="1" t="s">
        <v>24</v>
      </c>
      <c r="B4" s="26">
        <v>775.3382</v>
      </c>
      <c r="C4" s="27">
        <f t="shared" si="1"/>
        <v>99.9618</v>
      </c>
      <c r="D4" s="7">
        <f t="shared" si="2"/>
        <v>3</v>
      </c>
      <c r="E4" s="2" t="b">
        <f t="shared" si="0"/>
        <v>1</v>
      </c>
      <c r="F4" s="28"/>
      <c r="G4" s="9" t="s">
        <v>15</v>
      </c>
      <c r="H4" s="23">
        <v>1</v>
      </c>
    </row>
    <row r="5" spans="1:8">
      <c r="A5" s="1" t="s">
        <v>25</v>
      </c>
      <c r="B5" s="26">
        <v>775.43446</v>
      </c>
      <c r="C5" s="27">
        <f t="shared" si="1"/>
        <v>99.9494</v>
      </c>
      <c r="D5" s="7">
        <f t="shared" si="2"/>
        <v>4</v>
      </c>
      <c r="E5" s="2" t="b">
        <f t="shared" si="0"/>
        <v>1</v>
      </c>
      <c r="F5" s="28"/>
      <c r="G5" s="9" t="s">
        <v>17</v>
      </c>
      <c r="H5" s="23">
        <v>0.5</v>
      </c>
    </row>
    <row r="6" spans="1:8">
      <c r="A6" s="1" t="s">
        <v>18</v>
      </c>
      <c r="B6" s="26">
        <v>772.7392</v>
      </c>
      <c r="C6" s="27">
        <f t="shared" si="1"/>
        <v>99.8514</v>
      </c>
      <c r="D6" s="7">
        <f t="shared" si="2"/>
        <v>5</v>
      </c>
      <c r="E6" s="2" t="b">
        <f t="shared" si="0"/>
        <v>1</v>
      </c>
      <c r="F6" s="28"/>
      <c r="G6" s="9" t="s">
        <v>19</v>
      </c>
      <c r="H6" s="30">
        <v>0</v>
      </c>
    </row>
    <row r="7" spans="1:8">
      <c r="A7" s="1" t="s">
        <v>16</v>
      </c>
      <c r="B7" s="26">
        <v>772.331044</v>
      </c>
      <c r="C7" s="27">
        <f t="shared" si="1"/>
        <v>99.8251</v>
      </c>
      <c r="D7" s="7">
        <f t="shared" si="2"/>
        <v>6</v>
      </c>
      <c r="E7" s="2" t="b">
        <f t="shared" si="0"/>
        <v>1</v>
      </c>
      <c r="F7" s="28"/>
      <c r="G7" s="9" t="s">
        <v>21</v>
      </c>
      <c r="H7" s="17">
        <v>785.165309677</v>
      </c>
    </row>
    <row r="8" spans="1:8">
      <c r="A8" s="1" t="s">
        <v>14</v>
      </c>
      <c r="B8" s="26">
        <v>770.675005</v>
      </c>
      <c r="C8" s="27">
        <f t="shared" si="1"/>
        <v>99.7183</v>
      </c>
      <c r="D8" s="7">
        <f t="shared" si="2"/>
        <v>7</v>
      </c>
      <c r="E8" s="2" t="b">
        <f t="shared" si="0"/>
        <v>1</v>
      </c>
      <c r="F8" s="28"/>
      <c r="G8" s="9" t="s">
        <v>23</v>
      </c>
      <c r="H8" s="11">
        <v>0.3</v>
      </c>
    </row>
    <row r="9" spans="1:8">
      <c r="A9" s="1" t="s">
        <v>12</v>
      </c>
      <c r="B9" s="26">
        <v>770.0837</v>
      </c>
      <c r="C9" s="27">
        <f t="shared" si="1"/>
        <v>99.6801</v>
      </c>
      <c r="D9" s="7">
        <f t="shared" si="2"/>
        <v>8</v>
      </c>
      <c r="E9" s="2" t="b">
        <f t="shared" si="0"/>
        <v>1</v>
      </c>
      <c r="F9" s="28"/>
    </row>
    <row r="10" spans="1:8">
      <c r="A10" s="1" t="s">
        <v>26</v>
      </c>
      <c r="B10" s="26">
        <v>778.129412</v>
      </c>
      <c r="C10" s="27">
        <f t="shared" si="1"/>
        <v>99.6017</v>
      </c>
      <c r="D10" s="7">
        <f t="shared" si="2"/>
        <v>9</v>
      </c>
      <c r="E10" s="2" t="b">
        <f t="shared" si="0"/>
        <v>1</v>
      </c>
      <c r="F10" s="28"/>
      <c r="G10" s="4" t="s">
        <v>27</v>
      </c>
    </row>
    <row r="11" spans="1:8">
      <c r="A11" s="1" t="s">
        <v>28</v>
      </c>
      <c r="B11" s="26">
        <v>778.700007</v>
      </c>
      <c r="C11" s="27">
        <f t="shared" si="1"/>
        <v>99.5281</v>
      </c>
      <c r="D11" s="7">
        <f t="shared" si="2"/>
        <v>10</v>
      </c>
      <c r="E11" s="2" t="b">
        <f t="shared" si="0"/>
        <v>1</v>
      </c>
      <c r="F11" s="28"/>
      <c r="G11" s="9" t="s">
        <v>29</v>
      </c>
      <c r="H11" s="13">
        <f>COUNTA(B:B)-1</f>
        <v>34</v>
      </c>
    </row>
    <row r="12" spans="1:8">
      <c r="A12" s="1" t="s">
        <v>10</v>
      </c>
      <c r="B12" s="26">
        <v>767.077109</v>
      </c>
      <c r="C12" s="27">
        <f t="shared" si="1"/>
        <v>99.4861</v>
      </c>
      <c r="D12" s="7">
        <f t="shared" si="2"/>
        <v>11</v>
      </c>
      <c r="E12" s="2" t="b">
        <f t="shared" si="0"/>
        <v>1</v>
      </c>
      <c r="F12" s="28"/>
      <c r="G12" s="9" t="s">
        <v>109</v>
      </c>
      <c r="H12" s="14">
        <f>AVERAGEIF(B:B,"&lt;&gt;")</f>
        <v>775.042254264706</v>
      </c>
    </row>
    <row r="13" spans="1:8">
      <c r="A13" s="1" t="s">
        <v>30</v>
      </c>
      <c r="B13" s="26">
        <v>779.09659</v>
      </c>
      <c r="C13" s="27">
        <f t="shared" si="1"/>
        <v>99.4769</v>
      </c>
      <c r="D13" s="7">
        <f t="shared" si="2"/>
        <v>12</v>
      </c>
      <c r="E13" s="2" t="b">
        <f t="shared" si="0"/>
        <v>1</v>
      </c>
      <c r="F13" s="28"/>
      <c r="G13" s="9" t="s">
        <v>33</v>
      </c>
      <c r="H13" s="31">
        <f>H$12*(1+H2)</f>
        <v>620.033803411765</v>
      </c>
    </row>
    <row r="14" spans="1:8">
      <c r="A14" s="1" t="s">
        <v>32</v>
      </c>
      <c r="B14" s="26">
        <v>779.2932</v>
      </c>
      <c r="C14" s="27">
        <f t="shared" si="1"/>
        <v>99.4515</v>
      </c>
      <c r="D14" s="7">
        <f t="shared" si="2"/>
        <v>13</v>
      </c>
      <c r="E14" s="2" t="b">
        <f t="shared" si="0"/>
        <v>1</v>
      </c>
      <c r="F14" s="28"/>
      <c r="G14" s="9" t="s">
        <v>35</v>
      </c>
      <c r="H14" s="31">
        <f>H$12*(1+H3)</f>
        <v>891.298592404412</v>
      </c>
    </row>
    <row r="15" spans="1:8">
      <c r="A15" s="1" t="s">
        <v>34</v>
      </c>
      <c r="B15" s="26">
        <v>779.361701</v>
      </c>
      <c r="C15" s="27">
        <f t="shared" si="1"/>
        <v>99.4427</v>
      </c>
      <c r="D15" s="7">
        <f t="shared" si="2"/>
        <v>14</v>
      </c>
      <c r="E15" s="2" t="b">
        <f t="shared" si="0"/>
        <v>1</v>
      </c>
      <c r="F15" s="28"/>
      <c r="G15" s="9" t="str">
        <f>IF(COUNTA(E:E)-1=H11,"A3","A4")</f>
        <v>A3</v>
      </c>
      <c r="H15" s="14">
        <f>IF(G15=A3,H12,AVERAGEIF(E:E,TRUE,B:B))</f>
        <v>775.042254264706</v>
      </c>
    </row>
    <row r="16" spans="1:8">
      <c r="A16" s="1" t="s">
        <v>36</v>
      </c>
      <c r="B16" s="26">
        <v>779.380005</v>
      </c>
      <c r="C16" s="27">
        <f t="shared" si="1"/>
        <v>99.4403</v>
      </c>
      <c r="D16" s="7">
        <f t="shared" si="2"/>
        <v>15</v>
      </c>
      <c r="E16" s="2" t="b">
        <f t="shared" si="0"/>
        <v>1</v>
      </c>
      <c r="F16" s="28"/>
      <c r="G16" s="9" t="s">
        <v>110</v>
      </c>
      <c r="H16" s="13">
        <f>H15*(1+H6)</f>
        <v>775.042254264706</v>
      </c>
    </row>
    <row r="17" spans="1:8">
      <c r="A17" s="1" t="s">
        <v>38</v>
      </c>
      <c r="B17" s="26">
        <v>779.4175</v>
      </c>
      <c r="C17" s="27">
        <f t="shared" si="1"/>
        <v>99.4355</v>
      </c>
      <c r="D17" s="7">
        <f t="shared" si="2"/>
        <v>16</v>
      </c>
      <c r="E17" s="2" t="b">
        <f t="shared" si="0"/>
        <v>1</v>
      </c>
      <c r="F17" s="28"/>
      <c r="G17" s="15" t="s">
        <v>41</v>
      </c>
      <c r="H17" s="16">
        <f>H16/H7</f>
        <v>0.98710710306794</v>
      </c>
    </row>
    <row r="18" spans="1:8">
      <c r="A18" s="1" t="s">
        <v>40</v>
      </c>
      <c r="B18" s="26">
        <v>779.473135</v>
      </c>
      <c r="C18" s="27">
        <f t="shared" si="1"/>
        <v>99.4283</v>
      </c>
      <c r="D18" s="7">
        <f t="shared" si="2"/>
        <v>17</v>
      </c>
      <c r="E18" s="2" t="b">
        <f t="shared" si="0"/>
        <v>1</v>
      </c>
      <c r="F18" s="28"/>
    </row>
    <row r="19" spans="1:8">
      <c r="A19" s="1" t="s">
        <v>42</v>
      </c>
      <c r="B19" s="26">
        <v>779.495679</v>
      </c>
      <c r="C19" s="27">
        <f t="shared" si="1"/>
        <v>99.4254</v>
      </c>
      <c r="D19" s="7">
        <f t="shared" si="2"/>
        <v>18</v>
      </c>
      <c r="E19" s="2" t="b">
        <f t="shared" si="0"/>
        <v>1</v>
      </c>
      <c r="F19" s="28"/>
      <c r="G19" s="4" t="s">
        <v>44</v>
      </c>
    </row>
    <row r="20" spans="1:8">
      <c r="A20" s="1" t="s">
        <v>43</v>
      </c>
      <c r="B20" s="26">
        <v>779.847797</v>
      </c>
      <c r="C20" s="27">
        <f t="shared" si="1"/>
        <v>99.38</v>
      </c>
      <c r="D20" s="7">
        <f t="shared" si="2"/>
        <v>19</v>
      </c>
      <c r="E20" s="2" t="b">
        <f t="shared" si="0"/>
        <v>1</v>
      </c>
      <c r="F20" s="28"/>
      <c r="G20" s="17" t="s">
        <v>46</v>
      </c>
      <c r="H20" s="18" t="str">
        <f>IFERROR(VLOOKUP(G20,#REF!,3,0),"")</f>
        <v/>
      </c>
    </row>
    <row r="21" spans="1:8">
      <c r="A21" s="1" t="s">
        <v>80</v>
      </c>
      <c r="B21" s="26">
        <v>765.3264</v>
      </c>
      <c r="C21" s="27">
        <f t="shared" si="1"/>
        <v>99.3732</v>
      </c>
      <c r="D21" s="7">
        <f t="shared" si="2"/>
        <v>20</v>
      </c>
      <c r="E21" s="2" t="b">
        <f t="shared" si="0"/>
        <v>1</v>
      </c>
      <c r="F21" s="28"/>
      <c r="G21" s="9" t="s">
        <v>48</v>
      </c>
      <c r="H21" s="9" t="str">
        <f>IFERROR(VLOOKUP(G$20,A:C,3,0),"")</f>
        <v/>
      </c>
    </row>
    <row r="22" spans="1:8">
      <c r="A22" s="1" t="s">
        <v>111</v>
      </c>
      <c r="B22" s="26">
        <v>765.293152</v>
      </c>
      <c r="C22" s="27">
        <f t="shared" si="1"/>
        <v>99.3711</v>
      </c>
      <c r="D22" s="7">
        <f t="shared" si="2"/>
        <v>21</v>
      </c>
      <c r="E22" s="2" t="b">
        <f t="shared" si="0"/>
        <v>1</v>
      </c>
      <c r="F22" s="28"/>
      <c r="G22" s="15" t="s">
        <v>50</v>
      </c>
      <c r="H22" s="15" t="str">
        <f>IFERROR(VLOOKUP(G$20,A:D,4,0),"")</f>
        <v/>
      </c>
    </row>
    <row r="23" spans="1:8">
      <c r="A23" s="1" t="s">
        <v>45</v>
      </c>
      <c r="B23" s="26">
        <v>780.3102</v>
      </c>
      <c r="C23" s="27">
        <f t="shared" si="1"/>
        <v>99.3203</v>
      </c>
      <c r="D23" s="7">
        <f t="shared" si="2"/>
        <v>22</v>
      </c>
      <c r="E23" s="2" t="b">
        <f t="shared" si="0"/>
        <v>1</v>
      </c>
      <c r="F23" s="28"/>
      <c r="G23" s="9" t="s">
        <v>52</v>
      </c>
      <c r="H23" s="20">
        <f t="array" ref="H23">MAX(C:C)</f>
        <v>99.9783</v>
      </c>
    </row>
    <row r="24" spans="1:8">
      <c r="A24" s="1" t="s">
        <v>112</v>
      </c>
      <c r="B24" s="26">
        <v>763.299997</v>
      </c>
      <c r="C24" s="27">
        <f t="shared" si="1"/>
        <v>99.2425</v>
      </c>
      <c r="D24" s="7">
        <f t="shared" si="2"/>
        <v>23</v>
      </c>
      <c r="E24" s="2" t="b">
        <f t="shared" si="0"/>
        <v>1</v>
      </c>
      <c r="F24" s="28"/>
      <c r="G24" s="9" t="s">
        <v>54</v>
      </c>
      <c r="H24" s="9" t="str">
        <f>IFERROR(H23-H21,"")</f>
        <v/>
      </c>
    </row>
    <row r="25" spans="1:8">
      <c r="A25" s="1" t="s">
        <v>47</v>
      </c>
      <c r="B25" s="26">
        <v>781.069108</v>
      </c>
      <c r="C25" s="27">
        <f t="shared" si="1"/>
        <v>99.2224</v>
      </c>
      <c r="D25" s="7">
        <f t="shared" si="2"/>
        <v>24</v>
      </c>
      <c r="E25" s="2" t="b">
        <f t="shared" si="0"/>
        <v>1</v>
      </c>
      <c r="F25" s="28"/>
      <c r="G25" s="15" t="s">
        <v>57</v>
      </c>
      <c r="H25" s="15" t="str">
        <f>IFERROR(H24*H8,"")</f>
        <v/>
      </c>
    </row>
    <row r="26" spans="1:8">
      <c r="A26" s="1" t="s">
        <v>113</v>
      </c>
      <c r="B26" s="26">
        <v>762.050749</v>
      </c>
      <c r="C26" s="27">
        <f t="shared" si="1"/>
        <v>99.1619</v>
      </c>
      <c r="D26" s="7">
        <f t="shared" si="2"/>
        <v>25</v>
      </c>
      <c r="E26" s="2" t="b">
        <f t="shared" si="0"/>
        <v>1</v>
      </c>
      <c r="F26" s="28"/>
    </row>
    <row r="27" spans="1:8">
      <c r="A27" s="1" t="s">
        <v>79</v>
      </c>
      <c r="B27" s="26">
        <v>760.596672</v>
      </c>
      <c r="C27" s="27">
        <f t="shared" si="1"/>
        <v>99.0681</v>
      </c>
      <c r="D27" s="7">
        <f t="shared" si="2"/>
        <v>26</v>
      </c>
      <c r="E27" s="2" t="b">
        <f t="shared" si="0"/>
        <v>1</v>
      </c>
      <c r="F27" s="28"/>
    </row>
    <row r="28" spans="1:8">
      <c r="A28" s="1" t="s">
        <v>114</v>
      </c>
      <c r="B28" s="26">
        <v>760.4335</v>
      </c>
      <c r="C28" s="27">
        <f t="shared" si="1"/>
        <v>99.0576</v>
      </c>
      <c r="D28" s="7">
        <f t="shared" si="2"/>
        <v>27</v>
      </c>
      <c r="E28" s="2" t="b">
        <f t="shared" si="0"/>
        <v>1</v>
      </c>
      <c r="F28" s="28"/>
    </row>
    <row r="29" spans="1:8">
      <c r="A29" s="1" t="s">
        <v>49</v>
      </c>
      <c r="B29" s="26">
        <v>782.382846</v>
      </c>
      <c r="C29" s="27">
        <f t="shared" si="1"/>
        <v>99.0529</v>
      </c>
      <c r="D29" s="7">
        <f t="shared" si="2"/>
        <v>28</v>
      </c>
      <c r="E29" s="2" t="b">
        <f t="shared" si="0"/>
        <v>1</v>
      </c>
      <c r="F29" s="28"/>
    </row>
    <row r="30" spans="1:8">
      <c r="A30" s="1" t="s">
        <v>51</v>
      </c>
      <c r="B30" s="26">
        <v>783.994</v>
      </c>
      <c r="C30" s="27">
        <f t="shared" si="1"/>
        <v>98.845</v>
      </c>
      <c r="D30" s="7">
        <f t="shared" si="2"/>
        <v>29</v>
      </c>
      <c r="E30" s="2" t="b">
        <f t="shared" si="0"/>
        <v>1</v>
      </c>
      <c r="F30" s="28"/>
    </row>
    <row r="31" spans="1:8">
      <c r="A31" s="1" t="s">
        <v>76</v>
      </c>
      <c r="B31" s="26">
        <v>755.906268</v>
      </c>
      <c r="C31" s="27">
        <f t="shared" si="1"/>
        <v>98.7655</v>
      </c>
      <c r="D31" s="7">
        <f t="shared" si="2"/>
        <v>30</v>
      </c>
      <c r="E31" s="2" t="b">
        <f t="shared" si="0"/>
        <v>1</v>
      </c>
      <c r="F31" s="28"/>
    </row>
    <row r="32" spans="1:8">
      <c r="A32" s="1" t="s">
        <v>53</v>
      </c>
      <c r="B32" s="26">
        <v>784.823872</v>
      </c>
      <c r="C32" s="27">
        <f t="shared" si="1"/>
        <v>98.7379</v>
      </c>
      <c r="D32" s="7">
        <f t="shared" si="2"/>
        <v>31</v>
      </c>
      <c r="E32" s="2" t="b">
        <f t="shared" si="0"/>
        <v>1</v>
      </c>
      <c r="F32" s="28"/>
    </row>
    <row r="33" spans="1:6">
      <c r="A33" s="1" t="s">
        <v>55</v>
      </c>
      <c r="B33" s="26">
        <v>785.35</v>
      </c>
      <c r="C33" s="27">
        <f t="shared" si="1"/>
        <v>98.67</v>
      </c>
      <c r="D33" s="7">
        <f t="shared" si="2"/>
        <v>32</v>
      </c>
      <c r="E33" s="2" t="b">
        <f t="shared" si="0"/>
        <v>1</v>
      </c>
      <c r="F33" s="28"/>
    </row>
    <row r="34" spans="1:6">
      <c r="A34" s="1" t="s">
        <v>115</v>
      </c>
      <c r="B34" s="26">
        <v>786.619985</v>
      </c>
      <c r="C34" s="27">
        <f t="shared" si="1"/>
        <v>98.5062</v>
      </c>
      <c r="D34" s="7">
        <f t="shared" si="2"/>
        <v>33</v>
      </c>
      <c r="E34" s="2" t="b">
        <f t="shared" si="0"/>
        <v>1</v>
      </c>
      <c r="F34" s="28"/>
    </row>
    <row r="35" spans="1:6">
      <c r="A35" s="1" t="s">
        <v>78</v>
      </c>
      <c r="B35" s="26">
        <v>788.7174</v>
      </c>
      <c r="C35" s="27">
        <f t="shared" si="1"/>
        <v>98.2356</v>
      </c>
      <c r="D35" s="7">
        <f t="shared" si="2"/>
        <v>34</v>
      </c>
      <c r="E35" s="2" t="b">
        <f t="shared" si="0"/>
        <v>1</v>
      </c>
      <c r="F35" s="28"/>
    </row>
  </sheetData>
  <autoFilter xmlns:etc="http://www.wps.cn/officeDocument/2017/etCustomData" ref="A1:E35" etc:filterBottomFollowUsedRange="0">
    <extLst/>
  </autoFilter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1" topLeftCell="A2" activePane="bottomLeft" state="frozen"/>
      <selection/>
      <selection pane="bottomLeft" activeCell="L27" sqref="L27"/>
    </sheetView>
  </sheetViews>
  <sheetFormatPr defaultColWidth="9.84545454545455" defaultRowHeight="14" outlineLevelCol="6"/>
  <cols>
    <col min="1" max="1" width="21.0727272727273" style="1" customWidth="1"/>
    <col min="2" max="2" width="11.3818181818182" style="1" customWidth="1"/>
    <col min="3" max="3" width="10.6090909090909" style="2"/>
    <col min="4" max="4" width="9.84545454545455" style="2"/>
    <col min="5" max="5" width="8.07272727272727" style="2" customWidth="1"/>
    <col min="6" max="6" width="23.0727272727273" style="2" customWidth="1"/>
    <col min="7" max="7" width="19.0727272727273" style="2" customWidth="1"/>
    <col min="8" max="16384" width="9.84545454545455" style="2"/>
  </cols>
  <sheetData>
    <row r="1" ht="14.15" customHeight="1" spans="1:7">
      <c r="A1" s="3" t="s">
        <v>81</v>
      </c>
      <c r="B1" s="3" t="s">
        <v>103</v>
      </c>
      <c r="C1" s="3" t="s">
        <v>5</v>
      </c>
      <c r="D1" s="3" t="s">
        <v>6</v>
      </c>
      <c r="E1" s="3"/>
      <c r="F1" s="4" t="s">
        <v>9</v>
      </c>
    </row>
    <row r="2" spans="1:7">
      <c r="A2" s="1" t="s">
        <v>28</v>
      </c>
      <c r="B2" s="1">
        <v>65.47856</v>
      </c>
      <c r="C2" s="6">
        <f>IF(A2="不开标",0,ROUND(100-100*IF(B2&gt;=G$9,G$2,G$3)*ABS(B2-G$9)/G$9,4))</f>
        <v>99.9931</v>
      </c>
      <c r="D2" s="7">
        <f>IF(B2="不开标","",_xlfn.RANK.EQ(C2,C:C,0))</f>
        <v>1</v>
      </c>
      <c r="E2" s="21"/>
      <c r="F2" s="9" t="s">
        <v>15</v>
      </c>
      <c r="G2" s="23">
        <v>1</v>
      </c>
    </row>
    <row r="3" spans="1:7">
      <c r="A3" s="1" t="s">
        <v>30</v>
      </c>
      <c r="B3" s="1">
        <v>65.463428</v>
      </c>
      <c r="C3" s="6">
        <f t="shared" ref="C3:C16" si="0">IF(A3="不开标",0,ROUND(100-100*IF(B3&gt;=G$9,G$2,G$3)*ABS(B3-G$9)/G$9,4))</f>
        <v>99.987</v>
      </c>
      <c r="D3" s="7">
        <f t="shared" ref="D3:D16" si="1">IF(B3="不开标","",_xlfn.RANK.EQ(C3,C:C,0))</f>
        <v>2</v>
      </c>
      <c r="E3" s="21"/>
      <c r="F3" s="9" t="s">
        <v>17</v>
      </c>
      <c r="G3" s="23">
        <v>0.8</v>
      </c>
    </row>
    <row r="4" spans="1:7">
      <c r="A4" s="1" t="s">
        <v>26</v>
      </c>
      <c r="B4" s="1">
        <v>65.34</v>
      </c>
      <c r="C4" s="6">
        <f t="shared" si="0"/>
        <v>99.8362</v>
      </c>
      <c r="D4" s="7">
        <f t="shared" si="1"/>
        <v>3</v>
      </c>
      <c r="E4" s="21"/>
      <c r="F4" s="9" t="s">
        <v>21</v>
      </c>
      <c r="G4" s="10">
        <v>80</v>
      </c>
    </row>
    <row r="5" spans="1:7">
      <c r="A5" s="1" t="s">
        <v>32</v>
      </c>
      <c r="B5" s="1">
        <v>65.34</v>
      </c>
      <c r="C5" s="6">
        <f t="shared" si="0"/>
        <v>99.8362</v>
      </c>
      <c r="D5" s="7">
        <f t="shared" si="1"/>
        <v>3</v>
      </c>
      <c r="E5" s="21"/>
      <c r="F5" s="9" t="s">
        <v>23</v>
      </c>
      <c r="G5" s="11">
        <v>0.4</v>
      </c>
    </row>
    <row r="6" spans="1:7">
      <c r="A6" s="1" t="s">
        <v>34</v>
      </c>
      <c r="B6" s="1">
        <v>65.3</v>
      </c>
      <c r="C6" s="6">
        <f t="shared" si="0"/>
        <v>99.7873</v>
      </c>
      <c r="D6" s="7">
        <f t="shared" si="1"/>
        <v>5</v>
      </c>
      <c r="E6" s="21"/>
    </row>
    <row r="7" spans="1:7">
      <c r="A7" s="1" t="s">
        <v>36</v>
      </c>
      <c r="B7" s="1">
        <v>65.25</v>
      </c>
      <c r="C7" s="6">
        <f t="shared" si="0"/>
        <v>99.7262</v>
      </c>
      <c r="D7" s="7">
        <f t="shared" si="1"/>
        <v>6</v>
      </c>
      <c r="E7" s="21"/>
      <c r="F7" s="4" t="s">
        <v>27</v>
      </c>
    </row>
    <row r="8" spans="1:7">
      <c r="A8" s="1" t="s">
        <v>38</v>
      </c>
      <c r="B8" s="1">
        <v>66</v>
      </c>
      <c r="C8" s="6">
        <f t="shared" si="0"/>
        <v>99.1967</v>
      </c>
      <c r="D8" s="7">
        <f t="shared" si="1"/>
        <v>7</v>
      </c>
      <c r="E8" s="21"/>
      <c r="F8" s="9" t="s">
        <v>29</v>
      </c>
      <c r="G8" s="13">
        <f>COUNTA(B:B)-1</f>
        <v>15</v>
      </c>
    </row>
    <row r="9" spans="1:7">
      <c r="A9" s="1" t="s">
        <v>42</v>
      </c>
      <c r="B9" s="1">
        <v>66.0288</v>
      </c>
      <c r="C9" s="6">
        <f t="shared" si="0"/>
        <v>99.1527</v>
      </c>
      <c r="D9" s="7">
        <f t="shared" si="1"/>
        <v>8</v>
      </c>
      <c r="E9" s="21"/>
      <c r="F9" s="9" t="s">
        <v>110</v>
      </c>
      <c r="G9" s="14">
        <f>AVERAGEIF(B:B,"&lt;&gt;")</f>
        <v>65.4740578666667</v>
      </c>
    </row>
    <row r="10" spans="1:7">
      <c r="A10" s="1" t="s">
        <v>43</v>
      </c>
      <c r="B10" s="1">
        <v>66.03</v>
      </c>
      <c r="C10" s="6">
        <f t="shared" si="0"/>
        <v>99.1509</v>
      </c>
      <c r="D10" s="7">
        <f t="shared" si="1"/>
        <v>9</v>
      </c>
      <c r="E10" s="21"/>
      <c r="F10" s="15" t="s">
        <v>41</v>
      </c>
      <c r="G10" s="16">
        <f>G9/G4</f>
        <v>0.818425723333333</v>
      </c>
    </row>
    <row r="11" spans="1:7">
      <c r="A11" s="1" t="s">
        <v>40</v>
      </c>
      <c r="B11" s="1">
        <v>64.37808</v>
      </c>
      <c r="C11" s="6">
        <f t="shared" si="0"/>
        <v>98.6609</v>
      </c>
      <c r="D11" s="7">
        <f t="shared" si="1"/>
        <v>10</v>
      </c>
      <c r="E11" s="21"/>
    </row>
    <row r="12" spans="1:7">
      <c r="A12" s="1" t="s">
        <v>45</v>
      </c>
      <c r="B12" s="1">
        <v>66.72</v>
      </c>
      <c r="C12" s="6">
        <f t="shared" si="0"/>
        <v>98.097</v>
      </c>
      <c r="D12" s="7">
        <f t="shared" si="1"/>
        <v>11</v>
      </c>
      <c r="E12" s="21"/>
      <c r="F12" s="4" t="s">
        <v>44</v>
      </c>
    </row>
    <row r="13" spans="1:7">
      <c r="A13" s="1" t="s">
        <v>22</v>
      </c>
      <c r="B13" s="1">
        <v>67.4</v>
      </c>
      <c r="C13" s="6">
        <f t="shared" si="0"/>
        <v>97.0585</v>
      </c>
      <c r="D13" s="7">
        <f t="shared" si="1"/>
        <v>12</v>
      </c>
      <c r="E13" s="21"/>
      <c r="F13" s="17" t="s">
        <v>46</v>
      </c>
      <c r="G13" s="18" t="str">
        <f>IFERROR(VLOOKUP(F13,#REF!,3,0),"")</f>
        <v/>
      </c>
    </row>
    <row r="14" spans="1:7">
      <c r="A14" s="1" t="s">
        <v>25</v>
      </c>
      <c r="B14" s="1">
        <v>62.7</v>
      </c>
      <c r="C14" s="6">
        <f t="shared" si="0"/>
        <v>96.6105</v>
      </c>
      <c r="D14" s="7">
        <f t="shared" si="1"/>
        <v>13</v>
      </c>
      <c r="E14" s="21"/>
      <c r="F14" s="9" t="s">
        <v>48</v>
      </c>
      <c r="G14" s="9" t="str">
        <f>IFERROR(VLOOKUP(F$13,A:C,3,0),"")</f>
        <v/>
      </c>
    </row>
    <row r="15" spans="1:7">
      <c r="A15" s="1" t="s">
        <v>24</v>
      </c>
      <c r="B15" s="1">
        <v>62.5898</v>
      </c>
      <c r="C15" s="6">
        <f t="shared" si="0"/>
        <v>96.4758</v>
      </c>
      <c r="D15" s="7">
        <f t="shared" si="1"/>
        <v>14</v>
      </c>
      <c r="E15" s="21"/>
      <c r="F15" s="15" t="s">
        <v>50</v>
      </c>
      <c r="G15" s="15" t="str">
        <f>IFERROR(VLOOKUP(F$13,A:D,4,0),"")</f>
        <v/>
      </c>
    </row>
    <row r="16" spans="1:7">
      <c r="A16" s="1" t="s">
        <v>20</v>
      </c>
      <c r="B16" s="1">
        <v>68.0922</v>
      </c>
      <c r="C16" s="6">
        <f t="shared" si="0"/>
        <v>96.0013</v>
      </c>
      <c r="D16" s="7">
        <f t="shared" si="1"/>
        <v>15</v>
      </c>
      <c r="E16" s="21"/>
      <c r="F16" s="9" t="s">
        <v>52</v>
      </c>
      <c r="G16" s="20">
        <f t="array" ref="G16">MAX(C:C)</f>
        <v>99.9931</v>
      </c>
    </row>
    <row r="17" spans="6:7">
      <c r="F17" s="9" t="s">
        <v>54</v>
      </c>
      <c r="G17" s="9" t="str">
        <f>IFERROR(G16-G14,"")</f>
        <v/>
      </c>
    </row>
    <row r="18" spans="6:7">
      <c r="F18" s="15" t="s">
        <v>57</v>
      </c>
      <c r="G18" s="15" t="str">
        <f>IFERROR(G17*G5,"")</f>
        <v/>
      </c>
    </row>
  </sheetData>
  <autoFilter xmlns:etc="http://www.wps.cn/officeDocument/2017/etCustomData" ref="A1:D16" etc:filterBottomFollowUsedRange="0">
    <extLst/>
  </autoFilter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81" zoomScaleNormal="81" workbookViewId="0">
      <pane ySplit="1" topLeftCell="A2" activePane="bottomLeft" state="frozen"/>
      <selection/>
      <selection pane="bottomLeft" activeCell="G11" sqref="G11"/>
    </sheetView>
  </sheetViews>
  <sheetFormatPr defaultColWidth="9.84545454545455" defaultRowHeight="14"/>
  <cols>
    <col min="1" max="1" width="27.5363636363636" style="1" customWidth="1"/>
    <col min="2" max="2" width="12.7636363636364" style="1" customWidth="1"/>
    <col min="3" max="3" width="12.9181818181818" style="2"/>
    <col min="4" max="5" width="9.84545454545455" style="2"/>
    <col min="6" max="6" width="20.8454545454545" style="2" customWidth="1"/>
    <col min="7" max="7" width="17.3818181818182" style="2" customWidth="1"/>
    <col min="8" max="16384" width="9.84545454545455" style="2"/>
  </cols>
  <sheetData>
    <row r="1" spans="1:9">
      <c r="A1" s="3" t="s">
        <v>81</v>
      </c>
      <c r="B1" s="3" t="s">
        <v>103</v>
      </c>
      <c r="C1" s="3" t="s">
        <v>5</v>
      </c>
      <c r="D1" s="3" t="s">
        <v>6</v>
      </c>
      <c r="F1" s="4" t="s">
        <v>9</v>
      </c>
    </row>
    <row r="2" spans="1:9">
      <c r="A2" s="1" t="s">
        <v>22</v>
      </c>
      <c r="B2" s="5">
        <v>189.5</v>
      </c>
      <c r="C2" s="6">
        <f>IF(B2="不开标",0,ROUND(100-100*IF(B2&gt;=G$11,G$2,G$3)*ABS(B2-G$11)/G$11,4))</f>
        <v>99.7384</v>
      </c>
      <c r="D2" s="7">
        <f>IF(B2="不开标","",_xlfn.RANK.EQ(C2,C:C,0))</f>
        <v>1</v>
      </c>
      <c r="E2" s="8"/>
      <c r="F2" s="9" t="s">
        <v>15</v>
      </c>
      <c r="G2" s="23">
        <v>1.5</v>
      </c>
      <c r="H2" s="8"/>
      <c r="I2" s="8"/>
    </row>
    <row r="3" spans="1:9">
      <c r="A3" s="1" t="s">
        <v>36</v>
      </c>
      <c r="B3" s="5">
        <v>189</v>
      </c>
      <c r="C3" s="6">
        <f t="shared" ref="C3:C16" si="0">IF(B3="不开标",0,ROUND(100-100*IF(B3&gt;=G$11,G$2,G$3)*ABS(B3-G$11)/G$11,4))</f>
        <v>99.6599</v>
      </c>
      <c r="D3" s="7">
        <f t="shared" ref="D3:D16" si="1">IF(B3="不开标","",_xlfn.RANK.EQ(C3,C:C,0))</f>
        <v>2</v>
      </c>
      <c r="E3" s="8"/>
      <c r="F3" s="9" t="s">
        <v>17</v>
      </c>
      <c r="G3" s="23">
        <v>0.3</v>
      </c>
      <c r="H3" s="8"/>
      <c r="I3" s="8"/>
    </row>
    <row r="4" spans="1:9">
      <c r="A4" s="1" t="s">
        <v>32</v>
      </c>
      <c r="B4" s="5">
        <v>188</v>
      </c>
      <c r="C4" s="6">
        <f t="shared" si="0"/>
        <v>99.503</v>
      </c>
      <c r="D4" s="7">
        <f t="shared" si="1"/>
        <v>3</v>
      </c>
      <c r="E4" s="12"/>
      <c r="F4" s="9" t="s">
        <v>19</v>
      </c>
      <c r="G4" s="24">
        <v>0.01</v>
      </c>
      <c r="H4" s="12"/>
      <c r="I4" s="12"/>
    </row>
    <row r="5" spans="1:9">
      <c r="A5" s="1" t="s">
        <v>43</v>
      </c>
      <c r="B5" s="5">
        <v>185</v>
      </c>
      <c r="C5" s="6">
        <f t="shared" si="0"/>
        <v>99.0322</v>
      </c>
      <c r="D5" s="7">
        <f t="shared" si="1"/>
        <v>4</v>
      </c>
      <c r="E5" s="8"/>
      <c r="F5" s="9" t="s">
        <v>21</v>
      </c>
      <c r="G5" s="10">
        <v>204</v>
      </c>
      <c r="H5" s="8"/>
      <c r="I5" s="8"/>
    </row>
    <row r="6" spans="1:9">
      <c r="A6" s="1" t="s">
        <v>40</v>
      </c>
      <c r="B6" s="5">
        <v>193</v>
      </c>
      <c r="C6" s="6">
        <f t="shared" si="0"/>
        <v>98.5619</v>
      </c>
      <c r="D6" s="7">
        <f t="shared" si="1"/>
        <v>5</v>
      </c>
      <c r="E6" s="8"/>
      <c r="F6" s="9" t="s">
        <v>23</v>
      </c>
      <c r="G6" s="11">
        <v>0.4</v>
      </c>
      <c r="H6" s="8"/>
      <c r="I6" s="8"/>
    </row>
    <row r="7" spans="1:9">
      <c r="A7" s="1" t="s">
        <v>45</v>
      </c>
      <c r="B7" s="5">
        <v>194</v>
      </c>
      <c r="C7" s="6">
        <f t="shared" si="0"/>
        <v>97.7772</v>
      </c>
      <c r="D7" s="7">
        <f t="shared" si="1"/>
        <v>6</v>
      </c>
      <c r="E7" s="8"/>
      <c r="H7" s="8"/>
      <c r="I7" s="8"/>
    </row>
    <row r="8" spans="1:9">
      <c r="A8" s="1" t="s">
        <v>24</v>
      </c>
      <c r="B8" s="5">
        <v>175</v>
      </c>
      <c r="C8" s="6">
        <f t="shared" si="0"/>
        <v>97.4629</v>
      </c>
      <c r="D8" s="7">
        <f t="shared" si="1"/>
        <v>7</v>
      </c>
      <c r="E8" s="8"/>
      <c r="F8" s="4" t="s">
        <v>27</v>
      </c>
      <c r="H8" s="8"/>
      <c r="I8" s="8"/>
    </row>
    <row r="9" spans="1:9">
      <c r="A9" s="1" t="s">
        <v>20</v>
      </c>
      <c r="B9" s="5">
        <v>195</v>
      </c>
      <c r="C9" s="6">
        <f t="shared" si="0"/>
        <v>96.9926</v>
      </c>
      <c r="D9" s="7">
        <f t="shared" si="1"/>
        <v>8</v>
      </c>
      <c r="E9" s="8"/>
      <c r="F9" s="9" t="s">
        <v>29</v>
      </c>
      <c r="G9" s="13">
        <f>COUNTA(C:C)-1</f>
        <v>15</v>
      </c>
      <c r="H9" s="8"/>
      <c r="I9" s="8"/>
    </row>
    <row r="10" spans="1:9">
      <c r="A10" s="1" t="s">
        <v>38</v>
      </c>
      <c r="B10" s="5">
        <v>167</v>
      </c>
      <c r="C10" s="6">
        <f t="shared" si="0"/>
        <v>96.2074</v>
      </c>
      <c r="D10" s="7">
        <f t="shared" si="1"/>
        <v>9</v>
      </c>
      <c r="E10" s="8"/>
      <c r="F10" s="9" t="s">
        <v>31</v>
      </c>
      <c r="G10" s="14">
        <f>AVERAGEIF(B:B,"&lt;&gt;")</f>
        <v>189.274466666667</v>
      </c>
      <c r="H10" s="8"/>
      <c r="I10" s="8"/>
    </row>
    <row r="11" spans="1:9">
      <c r="A11" s="1" t="s">
        <v>42</v>
      </c>
      <c r="B11" s="5">
        <v>165</v>
      </c>
      <c r="C11" s="6">
        <f t="shared" si="0"/>
        <v>95.8936</v>
      </c>
      <c r="D11" s="7">
        <f t="shared" si="1"/>
        <v>10</v>
      </c>
      <c r="E11" s="8"/>
      <c r="F11" s="9" t="s">
        <v>110</v>
      </c>
      <c r="G11" s="14">
        <f>G10*(1+G4)</f>
        <v>191.167211333333</v>
      </c>
      <c r="H11" s="8"/>
      <c r="I11" s="8"/>
    </row>
    <row r="12" spans="1:9">
      <c r="A12" s="1" t="s">
        <v>28</v>
      </c>
      <c r="B12" s="19">
        <v>197.88</v>
      </c>
      <c r="C12" s="6">
        <f t="shared" si="0"/>
        <v>94.7328</v>
      </c>
      <c r="D12" s="7">
        <f t="shared" si="1"/>
        <v>11</v>
      </c>
      <c r="E12" s="8"/>
      <c r="F12" s="15" t="s">
        <v>41</v>
      </c>
      <c r="G12" s="16">
        <f>G11/G5</f>
        <v>0.937094173202614</v>
      </c>
      <c r="H12" s="8"/>
      <c r="I12" s="8"/>
    </row>
    <row r="13" spans="1:9">
      <c r="A13" s="1" t="s">
        <v>34</v>
      </c>
      <c r="B13" s="5">
        <v>199</v>
      </c>
      <c r="C13" s="6">
        <f t="shared" si="0"/>
        <v>93.854</v>
      </c>
      <c r="D13" s="7">
        <f t="shared" si="1"/>
        <v>12</v>
      </c>
      <c r="E13" s="8"/>
      <c r="H13" s="8"/>
      <c r="I13" s="8"/>
    </row>
    <row r="14" spans="1:9">
      <c r="A14" s="1" t="s">
        <v>25</v>
      </c>
      <c r="B14" s="5">
        <v>199.5</v>
      </c>
      <c r="C14" s="6">
        <f t="shared" si="0"/>
        <v>93.4616</v>
      </c>
      <c r="D14" s="7">
        <f t="shared" si="1"/>
        <v>13</v>
      </c>
      <c r="E14" s="8"/>
      <c r="F14" s="4" t="s">
        <v>44</v>
      </c>
      <c r="H14" s="8"/>
      <c r="I14" s="8"/>
    </row>
    <row r="15" spans="1:9">
      <c r="A15" s="1" t="s">
        <v>30</v>
      </c>
      <c r="B15" s="5">
        <v>200.226</v>
      </c>
      <c r="C15" s="6">
        <f t="shared" si="0"/>
        <v>92.892</v>
      </c>
      <c r="D15" s="7">
        <f t="shared" si="1"/>
        <v>14</v>
      </c>
      <c r="E15" s="8"/>
      <c r="F15" s="17" t="s">
        <v>46</v>
      </c>
      <c r="G15" s="18" t="str">
        <f>IFERROR(VLOOKUP(F15,#REF!,3,0),"")</f>
        <v/>
      </c>
      <c r="H15" s="8"/>
      <c r="I15" s="8"/>
    </row>
    <row r="16" spans="1:9">
      <c r="A16" s="1" t="s">
        <v>26</v>
      </c>
      <c r="B16" s="5">
        <v>202.011</v>
      </c>
      <c r="C16" s="6">
        <f t="shared" si="0"/>
        <v>91.4914</v>
      </c>
      <c r="D16" s="7">
        <f t="shared" si="1"/>
        <v>15</v>
      </c>
      <c r="E16" s="8"/>
      <c r="F16" s="9" t="s">
        <v>48</v>
      </c>
      <c r="G16" s="9" t="str">
        <f>IFERROR(VLOOKUP(F$15,A:C,3,0),"")</f>
        <v/>
      </c>
      <c r="H16" s="8"/>
      <c r="I16" s="8"/>
    </row>
    <row r="17" spans="5:9">
      <c r="E17" s="21"/>
      <c r="F17" s="15" t="s">
        <v>50</v>
      </c>
      <c r="G17" s="15" t="str">
        <f>IFERROR(VLOOKUP(F$15,A:D,4,0),"")</f>
        <v/>
      </c>
      <c r="H17" s="21"/>
      <c r="I17" s="21"/>
    </row>
    <row r="18" spans="5:9">
      <c r="E18" s="21"/>
      <c r="F18" s="9" t="s">
        <v>52</v>
      </c>
      <c r="G18" s="20">
        <f t="array" ref="G18">MAX(C:C)</f>
        <v>99.7384</v>
      </c>
      <c r="H18" s="21"/>
      <c r="I18" s="21"/>
    </row>
    <row r="19" spans="5:9">
      <c r="E19" s="21"/>
      <c r="F19" s="9" t="s">
        <v>54</v>
      </c>
      <c r="G19" s="9" t="str">
        <f>IFERROR(G18-G16,"")</f>
        <v/>
      </c>
      <c r="H19" s="21"/>
      <c r="I19" s="21"/>
    </row>
    <row r="20" spans="5:9">
      <c r="E20" s="21"/>
      <c r="F20" s="15" t="s">
        <v>57</v>
      </c>
      <c r="G20" s="15" t="str">
        <f>IFERROR(G19*G6,"")</f>
        <v/>
      </c>
      <c r="H20" s="21"/>
      <c r="I20" s="21"/>
    </row>
  </sheetData>
  <autoFilter xmlns:etc="http://www.wps.cn/officeDocument/2017/etCustomData" ref="A1:D16" etc:filterBottomFollowUsedRange="0">
    <extLst/>
  </autoFilter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pane ySplit="1" topLeftCell="A2" activePane="bottomLeft" state="frozen"/>
      <selection/>
      <selection pane="bottomLeft" activeCell="I15" sqref="I15"/>
    </sheetView>
  </sheetViews>
  <sheetFormatPr defaultColWidth="9.84545454545455" defaultRowHeight="14"/>
  <cols>
    <col min="1" max="1" width="27.5363636363636" style="1" customWidth="1"/>
    <col min="2" max="2" width="12.7636363636364" style="1" customWidth="1"/>
    <col min="3" max="3" width="15.1545454545455" style="2"/>
    <col min="4" max="4" width="9.84545454545455" style="2"/>
    <col min="5" max="5" width="4.91818181818182" style="2" customWidth="1"/>
    <col min="6" max="6" width="11" style="2" customWidth="1"/>
    <col min="7" max="7" width="9.84545454545455" style="2"/>
    <col min="8" max="8" width="20.8454545454545" style="2" customWidth="1"/>
    <col min="9" max="9" width="17.3818181818182" style="2" customWidth="1"/>
    <col min="10" max="10" width="3.54545454545455" style="2" customWidth="1"/>
    <col min="11" max="16384" width="9.84545454545455" style="2"/>
  </cols>
  <sheetData>
    <row r="1" spans="1:11">
      <c r="A1" s="3" t="s">
        <v>81</v>
      </c>
      <c r="B1" s="3" t="s">
        <v>103</v>
      </c>
      <c r="C1" s="3" t="s">
        <v>5</v>
      </c>
      <c r="D1" s="3" t="s">
        <v>6</v>
      </c>
      <c r="F1" s="2" t="s">
        <v>116</v>
      </c>
      <c r="H1" s="4" t="s">
        <v>9</v>
      </c>
    </row>
    <row r="2" spans="1:11">
      <c r="A2" s="1" t="s">
        <v>40</v>
      </c>
      <c r="B2" s="5">
        <v>193</v>
      </c>
      <c r="C2" s="6">
        <f t="shared" ref="C2:C16" si="0">IF(B2="不开标",0,ROUND(IF(B2&gt;=I$15,(I$15/B2)*I$4*100,(B2/I$15)*I$5*100),4))</f>
        <v>98.3148</v>
      </c>
      <c r="D2" s="7">
        <f>IF(B2="不开标","",_xlfn.RANK.EQ(C2,C:C,0))</f>
        <v>1</v>
      </c>
      <c r="E2" s="8"/>
      <c r="F2" s="8" t="b">
        <f t="shared" ref="F2:F16" si="1">IF(B2="不开标",FALSE,IF(AND(B2&lt;I$13,B2&gt;I$14),FALSE,TRUE))</f>
        <v>1</v>
      </c>
      <c r="G2" s="8"/>
      <c r="H2" s="9" t="s">
        <v>117</v>
      </c>
      <c r="I2" s="22">
        <v>0.8</v>
      </c>
      <c r="J2" s="8"/>
      <c r="K2" s="8"/>
    </row>
    <row r="3" spans="1:11">
      <c r="A3" s="1" t="s">
        <v>45</v>
      </c>
      <c r="B3" s="5">
        <v>194</v>
      </c>
      <c r="C3" s="6">
        <f t="shared" si="0"/>
        <v>97.8081</v>
      </c>
      <c r="D3" s="7">
        <f t="shared" ref="D3:D16" si="2">IF(B3="不开标","",_xlfn.RANK.EQ(C3,C:C,0))</f>
        <v>2</v>
      </c>
      <c r="E3" s="8"/>
      <c r="F3" s="8" t="b">
        <f t="shared" si="1"/>
        <v>1</v>
      </c>
      <c r="G3" s="8"/>
      <c r="H3" s="9" t="s">
        <v>118</v>
      </c>
      <c r="I3" s="22">
        <v>1.1</v>
      </c>
      <c r="J3" s="8"/>
      <c r="K3" s="8"/>
    </row>
    <row r="4" spans="1:11">
      <c r="A4" s="1" t="s">
        <v>20</v>
      </c>
      <c r="B4" s="5">
        <v>195</v>
      </c>
      <c r="C4" s="6">
        <f t="shared" si="0"/>
        <v>97.3065</v>
      </c>
      <c r="D4" s="7">
        <f t="shared" si="2"/>
        <v>3</v>
      </c>
      <c r="E4" s="8"/>
      <c r="F4" s="8" t="b">
        <f t="shared" si="1"/>
        <v>1</v>
      </c>
      <c r="G4" s="12"/>
      <c r="H4" s="9" t="s">
        <v>87</v>
      </c>
      <c r="I4" s="23">
        <v>1</v>
      </c>
      <c r="J4" s="12"/>
      <c r="K4" s="12"/>
    </row>
    <row r="5" spans="1:11">
      <c r="A5" s="1" t="s">
        <v>28</v>
      </c>
      <c r="B5" s="19">
        <v>197.88</v>
      </c>
      <c r="C5" s="6">
        <f t="shared" si="0"/>
        <v>95.8903</v>
      </c>
      <c r="D5" s="7">
        <f t="shared" si="2"/>
        <v>4</v>
      </c>
      <c r="E5" s="8"/>
      <c r="F5" s="8" t="b">
        <f t="shared" si="1"/>
        <v>1</v>
      </c>
      <c r="G5" s="8"/>
      <c r="H5" s="9" t="s">
        <v>119</v>
      </c>
      <c r="I5" s="23">
        <v>0.9</v>
      </c>
      <c r="J5" s="8"/>
      <c r="K5" s="8"/>
    </row>
    <row r="6" spans="1:11">
      <c r="A6" s="1" t="s">
        <v>34</v>
      </c>
      <c r="B6" s="5">
        <v>199</v>
      </c>
      <c r="C6" s="6">
        <f t="shared" si="0"/>
        <v>95.3506</v>
      </c>
      <c r="D6" s="7">
        <f t="shared" si="2"/>
        <v>5</v>
      </c>
      <c r="E6" s="8"/>
      <c r="F6" s="8" t="b">
        <f t="shared" si="1"/>
        <v>1</v>
      </c>
      <c r="G6" s="8"/>
      <c r="H6" s="9" t="s">
        <v>107</v>
      </c>
      <c r="I6" s="24">
        <v>-0.0025</v>
      </c>
      <c r="J6" s="8"/>
      <c r="K6" s="8"/>
    </row>
    <row r="7" spans="1:11">
      <c r="A7" s="1" t="s">
        <v>25</v>
      </c>
      <c r="B7" s="5">
        <v>199.5</v>
      </c>
      <c r="C7" s="6">
        <f t="shared" si="0"/>
        <v>95.1116</v>
      </c>
      <c r="D7" s="7">
        <f t="shared" si="2"/>
        <v>6</v>
      </c>
      <c r="E7" s="8"/>
      <c r="F7" s="8" t="b">
        <f t="shared" si="1"/>
        <v>1</v>
      </c>
      <c r="G7" s="8"/>
      <c r="H7" s="9" t="s">
        <v>21</v>
      </c>
      <c r="I7" s="10">
        <v>204</v>
      </c>
      <c r="J7" s="8"/>
      <c r="K7" s="8"/>
    </row>
    <row r="8" spans="1:11">
      <c r="A8" s="1" t="s">
        <v>30</v>
      </c>
      <c r="B8" s="5">
        <v>200.226</v>
      </c>
      <c r="C8" s="6">
        <f t="shared" si="0"/>
        <v>94.7667</v>
      </c>
      <c r="D8" s="7">
        <f t="shared" si="2"/>
        <v>7</v>
      </c>
      <c r="E8" s="8"/>
      <c r="F8" s="8" t="b">
        <f t="shared" si="1"/>
        <v>1</v>
      </c>
      <c r="G8" s="8"/>
      <c r="H8" s="9" t="s">
        <v>23</v>
      </c>
      <c r="I8" s="11">
        <v>0.4</v>
      </c>
      <c r="J8" s="8"/>
      <c r="K8" s="8"/>
    </row>
    <row r="9" spans="1:11">
      <c r="A9" s="1" t="s">
        <v>26</v>
      </c>
      <c r="B9" s="5">
        <v>202.011</v>
      </c>
      <c r="C9" s="6">
        <f t="shared" si="0"/>
        <v>93.9294</v>
      </c>
      <c r="D9" s="7">
        <f t="shared" si="2"/>
        <v>8</v>
      </c>
      <c r="E9" s="8"/>
      <c r="F9" s="8" t="b">
        <f t="shared" si="1"/>
        <v>1</v>
      </c>
      <c r="G9" s="8"/>
      <c r="J9" s="8"/>
      <c r="K9" s="8"/>
    </row>
    <row r="10" spans="1:11">
      <c r="A10" s="1" t="s">
        <v>22</v>
      </c>
      <c r="B10" s="5">
        <v>189.5</v>
      </c>
      <c r="C10" s="6">
        <f t="shared" si="0"/>
        <v>89.8825</v>
      </c>
      <c r="D10" s="7">
        <f t="shared" si="2"/>
        <v>9</v>
      </c>
      <c r="E10" s="8"/>
      <c r="F10" s="8" t="b">
        <f t="shared" si="1"/>
        <v>1</v>
      </c>
      <c r="G10" s="8"/>
      <c r="H10" s="4" t="s">
        <v>27</v>
      </c>
      <c r="J10" s="8"/>
      <c r="K10" s="8"/>
    </row>
    <row r="11" spans="1:11">
      <c r="A11" s="1" t="s">
        <v>36</v>
      </c>
      <c r="B11" s="5">
        <v>189</v>
      </c>
      <c r="C11" s="6">
        <f t="shared" si="0"/>
        <v>89.6454</v>
      </c>
      <c r="D11" s="7">
        <f t="shared" si="2"/>
        <v>10</v>
      </c>
      <c r="E11" s="8"/>
      <c r="F11" s="8" t="b">
        <f t="shared" si="1"/>
        <v>1</v>
      </c>
      <c r="G11" s="8"/>
      <c r="H11" s="9" t="s">
        <v>29</v>
      </c>
      <c r="I11" s="13">
        <f>COUNTA(C:C)-1</f>
        <v>15</v>
      </c>
      <c r="J11" s="8"/>
      <c r="K11" s="8"/>
    </row>
    <row r="12" spans="1:11">
      <c r="A12" s="1" t="s">
        <v>32</v>
      </c>
      <c r="B12" s="5">
        <v>188</v>
      </c>
      <c r="C12" s="6">
        <f t="shared" si="0"/>
        <v>89.1711</v>
      </c>
      <c r="D12" s="7">
        <f t="shared" si="2"/>
        <v>11</v>
      </c>
      <c r="E12" s="12"/>
      <c r="F12" s="8" t="b">
        <f t="shared" si="1"/>
        <v>1</v>
      </c>
      <c r="G12" s="8"/>
      <c r="H12" s="9" t="s">
        <v>31</v>
      </c>
      <c r="I12" s="14">
        <f>AVERAGEIF(B:B,"&lt;&gt;")</f>
        <v>189.274466666667</v>
      </c>
      <c r="J12" s="8"/>
      <c r="K12" s="8"/>
    </row>
    <row r="13" spans="1:11">
      <c r="A13" s="1" t="s">
        <v>43</v>
      </c>
      <c r="B13" s="5">
        <v>185</v>
      </c>
      <c r="C13" s="6">
        <f t="shared" si="0"/>
        <v>87.7481</v>
      </c>
      <c r="D13" s="7">
        <f t="shared" si="2"/>
        <v>12</v>
      </c>
      <c r="E13" s="8"/>
      <c r="F13" s="8" t="b">
        <f t="shared" si="1"/>
        <v>1</v>
      </c>
      <c r="G13" s="8"/>
      <c r="H13" s="9" t="s">
        <v>33</v>
      </c>
      <c r="I13" s="25">
        <f>I$12*I2</f>
        <v>151.419573333333</v>
      </c>
      <c r="J13" s="8"/>
      <c r="K13" s="8"/>
    </row>
    <row r="14" spans="1:11">
      <c r="A14" s="1" t="s">
        <v>24</v>
      </c>
      <c r="B14" s="5">
        <v>175</v>
      </c>
      <c r="C14" s="6">
        <f t="shared" si="0"/>
        <v>83.005</v>
      </c>
      <c r="D14" s="7">
        <f t="shared" si="2"/>
        <v>13</v>
      </c>
      <c r="E14" s="8"/>
      <c r="F14" s="8" t="b">
        <f t="shared" si="1"/>
        <v>1</v>
      </c>
      <c r="G14" s="8"/>
      <c r="H14" s="9" t="s">
        <v>35</v>
      </c>
      <c r="I14" s="25">
        <f>I$12*I3</f>
        <v>208.201913333333</v>
      </c>
      <c r="J14" s="8"/>
      <c r="K14" s="8"/>
    </row>
    <row r="15" spans="1:11">
      <c r="A15" s="1" t="s">
        <v>38</v>
      </c>
      <c r="B15" s="5">
        <v>167</v>
      </c>
      <c r="C15" s="6">
        <f t="shared" si="0"/>
        <v>79.2105</v>
      </c>
      <c r="D15" s="7">
        <f t="shared" si="2"/>
        <v>14</v>
      </c>
      <c r="E15" s="8"/>
      <c r="F15" s="8" t="b">
        <f t="shared" si="1"/>
        <v>1</v>
      </c>
      <c r="G15" s="8"/>
      <c r="H15" s="9" t="s">
        <v>110</v>
      </c>
      <c r="I15" s="14">
        <f>I12*(1-I6)</f>
        <v>189.747652833334</v>
      </c>
      <c r="J15" s="8"/>
      <c r="K15" s="8"/>
    </row>
    <row r="16" spans="1:11">
      <c r="A16" s="1" t="s">
        <v>42</v>
      </c>
      <c r="B16" s="5">
        <v>165</v>
      </c>
      <c r="C16" s="6">
        <f t="shared" si="0"/>
        <v>78.2618</v>
      </c>
      <c r="D16" s="7">
        <f t="shared" si="2"/>
        <v>15</v>
      </c>
      <c r="E16" s="8"/>
      <c r="F16" s="8" t="b">
        <f t="shared" si="1"/>
        <v>1</v>
      </c>
      <c r="G16" s="8"/>
      <c r="H16" s="15" t="s">
        <v>41</v>
      </c>
      <c r="I16" s="16">
        <f>I15/I7</f>
        <v>0.930135553104577</v>
      </c>
      <c r="J16" s="8"/>
      <c r="K16" s="8"/>
    </row>
    <row r="17" spans="5:11">
      <c r="E17" s="21"/>
      <c r="F17" s="21"/>
      <c r="G17" s="21"/>
      <c r="J17" s="21"/>
      <c r="K17" s="21"/>
    </row>
    <row r="18" spans="5:11">
      <c r="E18" s="21"/>
      <c r="F18" s="21"/>
      <c r="G18" s="21"/>
      <c r="H18" s="4" t="s">
        <v>44</v>
      </c>
      <c r="J18" s="21"/>
      <c r="K18" s="21"/>
    </row>
    <row r="19" spans="5:11">
      <c r="E19" s="21"/>
      <c r="F19" s="21"/>
      <c r="G19" s="21"/>
      <c r="H19" s="17" t="s">
        <v>46</v>
      </c>
      <c r="I19" s="18" t="str">
        <f>IFERROR(VLOOKUP(H19,#REF!,3,0),"")</f>
        <v/>
      </c>
      <c r="J19" s="21"/>
      <c r="K19" s="21"/>
    </row>
    <row r="20" spans="5:11">
      <c r="E20" s="21"/>
      <c r="F20" s="21"/>
      <c r="G20" s="21"/>
      <c r="H20" s="9" t="s">
        <v>48</v>
      </c>
      <c r="I20" s="9" t="str">
        <f>IFERROR(VLOOKUP(H$19,A:C,3,0),"")</f>
        <v/>
      </c>
      <c r="J20" s="21"/>
      <c r="K20" s="21"/>
    </row>
    <row r="21" spans="5:11">
      <c r="H21" s="15" t="s">
        <v>50</v>
      </c>
      <c r="I21" s="15" t="str">
        <f>IFERROR(VLOOKUP(H$19,A:D,4,0),"")</f>
        <v/>
      </c>
    </row>
    <row r="22" spans="5:11">
      <c r="H22" s="9" t="s">
        <v>52</v>
      </c>
      <c r="I22" s="20">
        <f t="array" ref="I22">MAX(C:C)</f>
        <v>98.3148</v>
      </c>
    </row>
    <row r="23" spans="5:11">
      <c r="H23" s="9" t="s">
        <v>54</v>
      </c>
      <c r="I23" s="9" t="str">
        <f>IFERROR(I22-I20,"")</f>
        <v/>
      </c>
    </row>
    <row r="24" spans="5:11">
      <c r="H24" s="15" t="s">
        <v>57</v>
      </c>
      <c r="I24" s="15" t="str">
        <f>IFERROR(I23*I8,"")</f>
        <v/>
      </c>
    </row>
  </sheetData>
  <autoFilter xmlns:etc="http://www.wps.cn/officeDocument/2017/etCustomData" ref="A1:F16" etc:filterBottomFollowUsedRange="0">
    <extLst/>
  </autoFilter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J24" sqref="J24"/>
    </sheetView>
  </sheetViews>
  <sheetFormatPr defaultColWidth="9.84545454545455" defaultRowHeight="14"/>
  <cols>
    <col min="1" max="1" width="25.0727272727273" style="1" customWidth="1"/>
    <col min="2" max="2" width="12.7636363636364" style="1" customWidth="1"/>
    <col min="3" max="3" width="15.1545454545455" style="2"/>
    <col min="4" max="4" width="9.84545454545455" style="2"/>
    <col min="5" max="5" width="4.91818181818182" style="2" customWidth="1"/>
    <col min="6" max="6" width="24.0727272727273" style="2" customWidth="1"/>
    <col min="7" max="7" width="17.3818181818182" style="2" customWidth="1"/>
    <col min="8" max="16384" width="9.84545454545455" style="2"/>
  </cols>
  <sheetData>
    <row r="1" spans="1:9">
      <c r="A1" s="3" t="s">
        <v>81</v>
      </c>
      <c r="B1" s="3" t="s">
        <v>103</v>
      </c>
      <c r="C1" s="3" t="s">
        <v>5</v>
      </c>
      <c r="D1" s="3" t="s">
        <v>6</v>
      </c>
      <c r="F1" s="4" t="s">
        <v>9</v>
      </c>
    </row>
    <row r="2" spans="1:9">
      <c r="A2" s="1" t="s">
        <v>42</v>
      </c>
      <c r="B2" s="5">
        <v>165</v>
      </c>
      <c r="C2" s="6">
        <f>IF(B2="不开标",0,ROUND(100*(G$7/B2),4))</f>
        <v>100</v>
      </c>
      <c r="D2" s="7">
        <f>IF(B2="不开标","",_xlfn.RANK.EQ(C2,C:C,0))</f>
        <v>1</v>
      </c>
      <c r="E2" s="8"/>
      <c r="F2" s="9" t="s">
        <v>21</v>
      </c>
      <c r="G2" s="10">
        <v>204</v>
      </c>
      <c r="H2" s="8"/>
      <c r="I2" s="8"/>
    </row>
    <row r="3" spans="1:9">
      <c r="A3" s="1" t="s">
        <v>38</v>
      </c>
      <c r="B3" s="5">
        <v>167</v>
      </c>
      <c r="C3" s="6">
        <f t="shared" ref="C3:C16" si="0">IF(B3="不开标",0,ROUND(100*(G$7/B3),4))</f>
        <v>98.8024</v>
      </c>
      <c r="D3" s="7">
        <f t="shared" ref="D3:D16" si="1">IF(B3="不开标","",_xlfn.RANK.EQ(C3,C:C,0))</f>
        <v>2</v>
      </c>
      <c r="E3" s="8"/>
      <c r="F3" s="9" t="s">
        <v>23</v>
      </c>
      <c r="G3" s="11">
        <v>0.4</v>
      </c>
      <c r="H3" s="8"/>
      <c r="I3" s="8"/>
    </row>
    <row r="4" spans="1:9">
      <c r="A4" s="1" t="s">
        <v>24</v>
      </c>
      <c r="B4" s="5">
        <v>175</v>
      </c>
      <c r="C4" s="6">
        <f t="shared" si="0"/>
        <v>94.2857</v>
      </c>
      <c r="D4" s="7">
        <f t="shared" si="1"/>
        <v>3</v>
      </c>
      <c r="E4" s="12"/>
      <c r="H4" s="12"/>
      <c r="I4" s="12"/>
    </row>
    <row r="5" spans="1:9">
      <c r="A5" s="1" t="s">
        <v>43</v>
      </c>
      <c r="B5" s="5">
        <v>185</v>
      </c>
      <c r="C5" s="6">
        <f t="shared" si="0"/>
        <v>89.1892</v>
      </c>
      <c r="D5" s="7">
        <f t="shared" si="1"/>
        <v>4</v>
      </c>
      <c r="E5" s="8"/>
      <c r="F5" s="4" t="s">
        <v>27</v>
      </c>
      <c r="H5" s="8"/>
      <c r="I5" s="8"/>
    </row>
    <row r="6" spans="1:9">
      <c r="A6" s="1" t="s">
        <v>32</v>
      </c>
      <c r="B6" s="5">
        <v>188</v>
      </c>
      <c r="C6" s="6">
        <f t="shared" si="0"/>
        <v>87.766</v>
      </c>
      <c r="D6" s="7">
        <f t="shared" si="1"/>
        <v>5</v>
      </c>
      <c r="E6" s="8"/>
      <c r="F6" s="9" t="s">
        <v>29</v>
      </c>
      <c r="G6" s="13">
        <f>COUNTA(B:B)-1</f>
        <v>15</v>
      </c>
      <c r="H6" s="8"/>
      <c r="I6" s="8"/>
    </row>
    <row r="7" spans="1:9">
      <c r="A7" s="1" t="s">
        <v>36</v>
      </c>
      <c r="B7" s="5">
        <v>189</v>
      </c>
      <c r="C7" s="6">
        <f t="shared" si="0"/>
        <v>87.3016</v>
      </c>
      <c r="D7" s="7">
        <f t="shared" si="1"/>
        <v>6</v>
      </c>
      <c r="E7" s="8"/>
      <c r="F7" s="9" t="s">
        <v>120</v>
      </c>
      <c r="G7" s="14">
        <f t="array" ref="G7">MIN(B:B)</f>
        <v>165</v>
      </c>
      <c r="H7" s="8"/>
      <c r="I7" s="8"/>
    </row>
    <row r="8" spans="1:9">
      <c r="A8" s="1" t="s">
        <v>22</v>
      </c>
      <c r="B8" s="5">
        <v>189.5</v>
      </c>
      <c r="C8" s="6">
        <f t="shared" si="0"/>
        <v>87.0712</v>
      </c>
      <c r="D8" s="7">
        <f t="shared" si="1"/>
        <v>7</v>
      </c>
      <c r="E8" s="8"/>
      <c r="F8" s="15" t="s">
        <v>41</v>
      </c>
      <c r="G8" s="16">
        <f>G7/G2</f>
        <v>0.808823529411765</v>
      </c>
      <c r="H8" s="8"/>
      <c r="I8" s="8"/>
    </row>
    <row r="9" spans="1:9">
      <c r="A9" s="1" t="s">
        <v>40</v>
      </c>
      <c r="B9" s="5">
        <v>193</v>
      </c>
      <c r="C9" s="6">
        <f t="shared" si="0"/>
        <v>85.4922</v>
      </c>
      <c r="D9" s="7">
        <f t="shared" si="1"/>
        <v>8</v>
      </c>
      <c r="E9" s="8"/>
      <c r="H9" s="8"/>
      <c r="I9" s="8"/>
    </row>
    <row r="10" spans="1:9">
      <c r="A10" s="1" t="s">
        <v>45</v>
      </c>
      <c r="B10" s="5">
        <v>194</v>
      </c>
      <c r="C10" s="6">
        <f t="shared" si="0"/>
        <v>85.0515</v>
      </c>
      <c r="D10" s="7">
        <f t="shared" si="1"/>
        <v>9</v>
      </c>
      <c r="E10" s="8"/>
      <c r="F10" s="4" t="s">
        <v>44</v>
      </c>
      <c r="H10" s="8"/>
      <c r="I10" s="8"/>
    </row>
    <row r="11" spans="1:9">
      <c r="A11" s="1" t="s">
        <v>20</v>
      </c>
      <c r="B11" s="5">
        <v>195</v>
      </c>
      <c r="C11" s="6">
        <f t="shared" si="0"/>
        <v>84.6154</v>
      </c>
      <c r="D11" s="7">
        <f t="shared" si="1"/>
        <v>10</v>
      </c>
      <c r="E11" s="8"/>
      <c r="F11" s="17" t="s">
        <v>46</v>
      </c>
      <c r="G11" s="18" t="str">
        <f>IFERROR(VLOOKUP(F11,#REF!,3,0),"")</f>
        <v/>
      </c>
      <c r="H11" s="8"/>
      <c r="I11" s="8"/>
    </row>
    <row r="12" spans="1:9">
      <c r="A12" s="1" t="s">
        <v>28</v>
      </c>
      <c r="B12" s="19">
        <v>197.88</v>
      </c>
      <c r="C12" s="6">
        <f t="shared" si="0"/>
        <v>83.3839</v>
      </c>
      <c r="D12" s="7">
        <f t="shared" si="1"/>
        <v>11</v>
      </c>
      <c r="E12" s="8"/>
      <c r="F12" s="9" t="s">
        <v>48</v>
      </c>
      <c r="G12" s="9" t="str">
        <f>IFERROR(VLOOKUP(F$11,A:C,3,0),"")</f>
        <v/>
      </c>
      <c r="H12" s="8"/>
      <c r="I12" s="8"/>
    </row>
    <row r="13" spans="1:9">
      <c r="A13" s="1" t="s">
        <v>34</v>
      </c>
      <c r="B13" s="5">
        <v>199</v>
      </c>
      <c r="C13" s="6">
        <f t="shared" si="0"/>
        <v>82.9146</v>
      </c>
      <c r="D13" s="7">
        <f t="shared" si="1"/>
        <v>12</v>
      </c>
      <c r="E13" s="8"/>
      <c r="F13" s="15" t="s">
        <v>50</v>
      </c>
      <c r="G13" s="15" t="str">
        <f>IFERROR(VLOOKUP(F$11,A:D,4,0),"")</f>
        <v/>
      </c>
      <c r="H13" s="8"/>
      <c r="I13" s="8"/>
    </row>
    <row r="14" spans="1:9">
      <c r="A14" s="1" t="s">
        <v>25</v>
      </c>
      <c r="B14" s="5">
        <v>199.5</v>
      </c>
      <c r="C14" s="6">
        <f t="shared" si="0"/>
        <v>82.7068</v>
      </c>
      <c r="D14" s="7">
        <f t="shared" si="1"/>
        <v>13</v>
      </c>
      <c r="E14" s="8"/>
      <c r="F14" s="9" t="s">
        <v>52</v>
      </c>
      <c r="G14" s="20">
        <f t="array" ref="G14">MAX(C:C)</f>
        <v>100</v>
      </c>
      <c r="H14" s="8"/>
      <c r="I14" s="8"/>
    </row>
    <row r="15" spans="1:9">
      <c r="A15" s="1" t="s">
        <v>30</v>
      </c>
      <c r="B15" s="5">
        <v>200.226</v>
      </c>
      <c r="C15" s="6">
        <f t="shared" si="0"/>
        <v>82.4069</v>
      </c>
      <c r="D15" s="7">
        <f t="shared" si="1"/>
        <v>14</v>
      </c>
      <c r="E15" s="8"/>
      <c r="F15" s="9" t="s">
        <v>54</v>
      </c>
      <c r="G15" s="9" t="str">
        <f>IFERROR(G14-G12,"")</f>
        <v/>
      </c>
      <c r="H15" s="8"/>
      <c r="I15" s="8"/>
    </row>
    <row r="16" spans="1:9">
      <c r="A16" s="1" t="s">
        <v>26</v>
      </c>
      <c r="B16" s="5">
        <v>202.011</v>
      </c>
      <c r="C16" s="6">
        <f t="shared" si="0"/>
        <v>81.6787</v>
      </c>
      <c r="D16" s="7">
        <f t="shared" si="1"/>
        <v>15</v>
      </c>
      <c r="E16" s="8"/>
      <c r="F16" s="15" t="s">
        <v>57</v>
      </c>
      <c r="G16" s="15" t="str">
        <f>IFERROR(G15*G3,"")</f>
        <v/>
      </c>
      <c r="H16" s="8"/>
      <c r="I16" s="8"/>
    </row>
    <row r="17" spans="5:9">
      <c r="E17" s="21"/>
      <c r="H17" s="21"/>
      <c r="I17" s="21"/>
    </row>
    <row r="18" spans="5:9">
      <c r="E18" s="21"/>
      <c r="H18" s="21"/>
      <c r="I18" s="21"/>
    </row>
    <row r="19" spans="5:9">
      <c r="E19" s="21"/>
      <c r="H19" s="21"/>
      <c r="I19" s="21"/>
    </row>
    <row r="20" spans="5:9">
      <c r="E20" s="21"/>
      <c r="H20" s="21"/>
      <c r="I20" s="21"/>
    </row>
  </sheetData>
  <autoFilter xmlns:etc="http://www.wps.cn/officeDocument/2017/etCustomData" ref="A1:D16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区间平均价浮动法</vt:lpstr>
      <vt:lpstr>区间平均价浮动法（折扣率）</vt:lpstr>
      <vt:lpstr>区间复合平均价法（次低价平均)</vt:lpstr>
      <vt:lpstr>区间复合一次平均价法</vt:lpstr>
      <vt:lpstr>区间复合平均价浮动法</vt:lpstr>
      <vt:lpstr>简单算术平均值法</vt:lpstr>
      <vt:lpstr>算术平均值下浮法</vt:lpstr>
      <vt:lpstr>区间平均下浮双边曲线算法</vt:lpstr>
      <vt:lpstr>最低价法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何娟</cp:lastModifiedBy>
  <dcterms:created xsi:type="dcterms:W3CDTF">2006-09-16T00:00:00Z</dcterms:created>
  <cp:lastPrinted>2024-04-14T07:48:00Z</cp:lastPrinted>
  <dcterms:modified xsi:type="dcterms:W3CDTF">2026-05-28T06:51:29Z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FFE5991F3FB54EBC89E25B5E612487F7_13</vt:lpwstr>
  </property>
  <property fmtid="{D5CDD505-2E9C-101B-9397-08002B2CF9AE}" pid="4" name="CalculationRule">
    <vt:i4>0</vt:i4>
  </property>
</Properties>
</file>